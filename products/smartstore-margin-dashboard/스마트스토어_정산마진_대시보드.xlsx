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설정" sheetId="2" state="visible" r:id="rId2"/>
    <sheet name="판매기록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원&quot;;(#,##0&quot;원&quot;);-"/>
    <numFmt numFmtId="166" formatCode="yyyy-mm-dd"/>
    <numFmt numFmtId="167" formatCode="yyyy-mm"/>
  </numFmts>
  <fonts count="6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  <font>
      <name val="Malgun Gothic"/>
      <b val="1"/>
      <color rgb="00FFFFFF"/>
    </font>
    <font>
      <name val="Malgun Gothic"/>
      <color rgb="000000FF"/>
    </font>
    <font>
      <name val="Malgun Gothic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00"/>
      </patternFill>
    </fill>
    <fill>
      <patternFill patternType="solid">
        <fgColor rgb="00BF8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2" fillId="0" borderId="0" pivotButton="0" quotePrefix="0" xfId="0"/>
    <xf numFmtId="164" fontId="4" fillId="3" borderId="1" pivotButton="0" quotePrefix="0" xfId="0"/>
    <xf numFmtId="0" fontId="5" fillId="0" borderId="0" pivotButton="0" quotePrefix="0" xfId="0"/>
    <xf numFmtId="165" fontId="4" fillId="3" borderId="1" pivotButton="0" quotePrefix="0" xfId="0"/>
    <xf numFmtId="0" fontId="3" fillId="4" borderId="1" pivotButton="0" quotePrefix="0" xfId="0"/>
    <xf numFmtId="166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1" fillId="0" borderId="0" pivotButton="0" quotePrefix="0" xfId="0"/>
    <xf numFmtId="165" fontId="1" fillId="5" borderId="1" pivotButton="0" quotePrefix="0" xfId="0"/>
    <xf numFmtId="164" fontId="1" fillId="5" borderId="1" pivotButton="0" quotePrefix="0" xfId="0"/>
    <xf numFmtId="3" fontId="1" fillId="5" borderId="1" pivotButton="0" quotePrefix="0" xfId="0"/>
    <xf numFmtId="167" fontId="2" fillId="0" borderId="1" pivotButton="0" quotePrefix="0" xfId="0"/>
    <xf numFmtId="0" fontId="2" fillId="0" borderId="1" pivotButton="0" quotePrefix="0" xfId="0"/>
    <xf numFmtId="0" fontId="4" fillId="3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9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>
      <c r="B1" s="1" t="inlineStr">
        <is>
          <t>스마트스토어 정산·마진 관리 대시보드</t>
        </is>
      </c>
    </row>
    <row r="2">
      <c r="B2" s="2" t="inlineStr"/>
    </row>
    <row r="3">
      <c r="B3" s="2" t="inlineStr">
        <is>
          <t>① [설정] 시트의 노란색 셀에 내 스토어 수수료율과 목표를 입력하세요.</t>
        </is>
      </c>
    </row>
    <row r="4">
      <c r="B4" s="2" t="inlineStr">
        <is>
          <t>② [판매기록] 시트에 주문 1건당 1행씩 입력하세요 (노란 머리글 열만 입력, 나머지는 자동 계산).</t>
        </is>
      </c>
    </row>
    <row r="5">
      <c r="B5" s="2" t="inlineStr">
        <is>
          <t>③ [대시보드] 시트에서 월별 실적·목표 진척률·상품별 조회를 확인하세요.</t>
        </is>
      </c>
    </row>
    <row r="6">
      <c r="B6" s="2" t="inlineStr"/>
    </row>
    <row r="7">
      <c r="B7" s="2" t="inlineStr">
        <is>
          <t>색상 규칙:  파란 글씨 = 직접 입력하는 값  |  검은 글씨 = 자동 계산(수정 금지)  |  노란 배경 = 꼭 채워야 하는 셀</t>
        </is>
      </c>
    </row>
    <row r="8">
      <c r="B8" s="2" t="inlineStr">
        <is>
          <t>참고: 판매기록 2행에 예시 데이터가 1건 들어 있습니다. 실제 입력 시 지우고 쓰세요.</t>
        </is>
      </c>
    </row>
    <row r="9">
      <c r="B9" s="2" t="inlineStr">
        <is>
          <t>수수료율 기본값(3.63%+2.00%)은 스마트스토어 일반 등급 기준 예시입니다. 내 등급의 실제 요율은 판매자센터&gt;정산관리에서 확인 후 [설정]에서 수정하세요.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3" t="inlineStr">
        <is>
          <t>항목</t>
        </is>
      </c>
      <c r="B1" s="3" t="inlineStr">
        <is>
          <t>값</t>
        </is>
      </c>
      <c r="C1" s="3" t="inlineStr">
        <is>
          <t>설명</t>
        </is>
      </c>
    </row>
    <row r="2">
      <c r="A2" s="4" t="inlineStr">
        <is>
          <t>주문관리 수수료율</t>
        </is>
      </c>
      <c r="B2" s="5" t="n">
        <v>0.0363</v>
      </c>
      <c r="C2" s="6" t="inlineStr">
        <is>
          <t>카드결제 기준 예시. 내 등급 요율로 수정</t>
        </is>
      </c>
    </row>
    <row r="3">
      <c r="A3" s="4" t="inlineStr">
        <is>
          <t>네이버쇼핑 유입 수수료율</t>
        </is>
      </c>
      <c r="B3" s="5" t="n">
        <v>0.02</v>
      </c>
      <c r="C3" s="6" t="inlineStr">
        <is>
          <t>네이버쇼핑 검색 경유 주문에 부과</t>
        </is>
      </c>
    </row>
    <row r="4">
      <c r="A4" s="4" t="inlineStr">
        <is>
          <t>목표 마진율</t>
        </is>
      </c>
      <c r="B4" s="5" t="n">
        <v>0.18</v>
      </c>
      <c r="C4" s="6" t="inlineStr">
        <is>
          <t>신규 등록 시 기준 마진</t>
        </is>
      </c>
    </row>
    <row r="5">
      <c r="A5" s="4" t="inlineStr">
        <is>
          <t>기간 순익 목표(원)</t>
        </is>
      </c>
      <c r="B5" s="7" t="n">
        <v>1000000</v>
      </c>
      <c r="C5" s="6" t="inlineStr">
        <is>
          <t>대시보드 진척률의 분모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8" t="inlineStr">
        <is>
          <t>날짜</t>
        </is>
      </c>
      <c r="B1" s="8" t="inlineStr">
        <is>
          <t>상품명</t>
        </is>
      </c>
      <c r="C1" s="8" t="inlineStr">
        <is>
          <t>판매가(개당)</t>
        </is>
      </c>
      <c r="D1" s="8" t="inlineStr">
        <is>
          <t>수량</t>
        </is>
      </c>
      <c r="E1" s="8" t="inlineStr">
        <is>
          <t>도매원가(개당)</t>
        </is>
      </c>
      <c r="F1" s="8" t="inlineStr">
        <is>
          <t>공급사배송비(건)</t>
        </is>
      </c>
      <c r="G1" s="3" t="inlineStr">
        <is>
          <t>매출액</t>
        </is>
      </c>
      <c r="H1" s="3" t="inlineStr">
        <is>
          <t>수수료</t>
        </is>
      </c>
      <c r="I1" s="3" t="inlineStr">
        <is>
          <t>정산예정액</t>
        </is>
      </c>
      <c r="J1" s="3" t="inlineStr">
        <is>
          <t>총원가</t>
        </is>
      </c>
      <c r="K1" s="3" t="inlineStr">
        <is>
          <t>순이익</t>
        </is>
      </c>
      <c r="L1" s="3" t="inlineStr">
        <is>
          <t>마진율</t>
        </is>
      </c>
    </row>
    <row r="2">
      <c r="A2" s="9" t="n">
        <v>46249</v>
      </c>
      <c r="B2" s="10" t="inlineStr">
        <is>
          <t>레이테 피크닉매트 270x210</t>
        </is>
      </c>
      <c r="C2" s="11" t="n">
        <v>39500</v>
      </c>
      <c r="D2" s="10" t="n">
        <v>1</v>
      </c>
      <c r="E2" s="11" t="n">
        <v>28000</v>
      </c>
      <c r="F2" s="11" t="n">
        <v>1750</v>
      </c>
      <c r="G2" s="12">
        <f>IF($B2="","",C2*D2)</f>
        <v/>
      </c>
      <c r="H2" s="12">
        <f>IF($B2="","",G2*(설정!$B$2+설정!$B$3))</f>
        <v/>
      </c>
      <c r="I2" s="12">
        <f>IF($B2="","",G2-H2)</f>
        <v/>
      </c>
      <c r="J2" s="12">
        <f>IF($B2="","",E2*D2+F2)</f>
        <v/>
      </c>
      <c r="K2" s="12">
        <f>IF($B2="","",I2-J2)</f>
        <v/>
      </c>
      <c r="L2" s="13">
        <f>IF($B2="","",IFERROR(K2/G2,0))</f>
        <v/>
      </c>
    </row>
    <row r="3">
      <c r="A3" s="9" t="n"/>
      <c r="B3" s="10" t="n"/>
      <c r="C3" s="11" t="n"/>
      <c r="D3" s="10" t="n"/>
      <c r="E3" s="11" t="n"/>
      <c r="F3" s="11" t="n"/>
      <c r="G3" s="12">
        <f>IF($B3="","",C3*D3)</f>
        <v/>
      </c>
      <c r="H3" s="12">
        <f>IF($B3="","",G3*(설정!$B$2+설정!$B$3))</f>
        <v/>
      </c>
      <c r="I3" s="12">
        <f>IF($B3="","",G3-H3)</f>
        <v/>
      </c>
      <c r="J3" s="12">
        <f>IF($B3="","",E3*D3+F3)</f>
        <v/>
      </c>
      <c r="K3" s="12">
        <f>IF($B3="","",I3-J3)</f>
        <v/>
      </c>
      <c r="L3" s="13">
        <f>IF($B3="","",IFERROR(K3/G3,0))</f>
        <v/>
      </c>
    </row>
    <row r="4">
      <c r="A4" s="9" t="n"/>
      <c r="B4" s="10" t="n"/>
      <c r="C4" s="11" t="n"/>
      <c r="D4" s="10" t="n"/>
      <c r="E4" s="11" t="n"/>
      <c r="F4" s="11" t="n"/>
      <c r="G4" s="12">
        <f>IF($B4="","",C4*D4)</f>
        <v/>
      </c>
      <c r="H4" s="12">
        <f>IF($B4="","",G4*(설정!$B$2+설정!$B$3))</f>
        <v/>
      </c>
      <c r="I4" s="12">
        <f>IF($B4="","",G4-H4)</f>
        <v/>
      </c>
      <c r="J4" s="12">
        <f>IF($B4="","",E4*D4+F4)</f>
        <v/>
      </c>
      <c r="K4" s="12">
        <f>IF($B4="","",I4-J4)</f>
        <v/>
      </c>
      <c r="L4" s="13">
        <f>IF($B4="","",IFERROR(K4/G4,0))</f>
        <v/>
      </c>
    </row>
    <row r="5">
      <c r="A5" s="9" t="n"/>
      <c r="B5" s="10" t="n"/>
      <c r="C5" s="11" t="n"/>
      <c r="D5" s="10" t="n"/>
      <c r="E5" s="11" t="n"/>
      <c r="F5" s="11" t="n"/>
      <c r="G5" s="12">
        <f>IF($B5="","",C5*D5)</f>
        <v/>
      </c>
      <c r="H5" s="12">
        <f>IF($B5="","",G5*(설정!$B$2+설정!$B$3))</f>
        <v/>
      </c>
      <c r="I5" s="12">
        <f>IF($B5="","",G5-H5)</f>
        <v/>
      </c>
      <c r="J5" s="12">
        <f>IF($B5="","",E5*D5+F5)</f>
        <v/>
      </c>
      <c r="K5" s="12">
        <f>IF($B5="","",I5-J5)</f>
        <v/>
      </c>
      <c r="L5" s="13">
        <f>IF($B5="","",IFERROR(K5/G5,0))</f>
        <v/>
      </c>
    </row>
    <row r="6">
      <c r="A6" s="9" t="n"/>
      <c r="B6" s="10" t="n"/>
      <c r="C6" s="11" t="n"/>
      <c r="D6" s="10" t="n"/>
      <c r="E6" s="11" t="n"/>
      <c r="F6" s="11" t="n"/>
      <c r="G6" s="12">
        <f>IF($B6="","",C6*D6)</f>
        <v/>
      </c>
      <c r="H6" s="12">
        <f>IF($B6="","",G6*(설정!$B$2+설정!$B$3))</f>
        <v/>
      </c>
      <c r="I6" s="12">
        <f>IF($B6="","",G6-H6)</f>
        <v/>
      </c>
      <c r="J6" s="12">
        <f>IF($B6="","",E6*D6+F6)</f>
        <v/>
      </c>
      <c r="K6" s="12">
        <f>IF($B6="","",I6-J6)</f>
        <v/>
      </c>
      <c r="L6" s="13">
        <f>IF($B6="","",IFERROR(K6/G6,0))</f>
        <v/>
      </c>
    </row>
    <row r="7">
      <c r="A7" s="9" t="n"/>
      <c r="B7" s="10" t="n"/>
      <c r="C7" s="11" t="n"/>
      <c r="D7" s="10" t="n"/>
      <c r="E7" s="11" t="n"/>
      <c r="F7" s="11" t="n"/>
      <c r="G7" s="12">
        <f>IF($B7="","",C7*D7)</f>
        <v/>
      </c>
      <c r="H7" s="12">
        <f>IF($B7="","",G7*(설정!$B$2+설정!$B$3))</f>
        <v/>
      </c>
      <c r="I7" s="12">
        <f>IF($B7="","",G7-H7)</f>
        <v/>
      </c>
      <c r="J7" s="12">
        <f>IF($B7="","",E7*D7+F7)</f>
        <v/>
      </c>
      <c r="K7" s="12">
        <f>IF($B7="","",I7-J7)</f>
        <v/>
      </c>
      <c r="L7" s="13">
        <f>IF($B7="","",IFERROR(K7/G7,0))</f>
        <v/>
      </c>
    </row>
    <row r="8">
      <c r="A8" s="9" t="n"/>
      <c r="B8" s="10" t="n"/>
      <c r="C8" s="11" t="n"/>
      <c r="D8" s="10" t="n"/>
      <c r="E8" s="11" t="n"/>
      <c r="F8" s="11" t="n"/>
      <c r="G8" s="12">
        <f>IF($B8="","",C8*D8)</f>
        <v/>
      </c>
      <c r="H8" s="12">
        <f>IF($B8="","",G8*(설정!$B$2+설정!$B$3))</f>
        <v/>
      </c>
      <c r="I8" s="12">
        <f>IF($B8="","",G8-H8)</f>
        <v/>
      </c>
      <c r="J8" s="12">
        <f>IF($B8="","",E8*D8+F8)</f>
        <v/>
      </c>
      <c r="K8" s="12">
        <f>IF($B8="","",I8-J8)</f>
        <v/>
      </c>
      <c r="L8" s="13">
        <f>IF($B8="","",IFERROR(K8/G8,0))</f>
        <v/>
      </c>
    </row>
    <row r="9">
      <c r="A9" s="9" t="n"/>
      <c r="B9" s="10" t="n"/>
      <c r="C9" s="11" t="n"/>
      <c r="D9" s="10" t="n"/>
      <c r="E9" s="11" t="n"/>
      <c r="F9" s="11" t="n"/>
      <c r="G9" s="12">
        <f>IF($B9="","",C9*D9)</f>
        <v/>
      </c>
      <c r="H9" s="12">
        <f>IF($B9="","",G9*(설정!$B$2+설정!$B$3))</f>
        <v/>
      </c>
      <c r="I9" s="12">
        <f>IF($B9="","",G9-H9)</f>
        <v/>
      </c>
      <c r="J9" s="12">
        <f>IF($B9="","",E9*D9+F9)</f>
        <v/>
      </c>
      <c r="K9" s="12">
        <f>IF($B9="","",I9-J9)</f>
        <v/>
      </c>
      <c r="L9" s="13">
        <f>IF($B9="","",IFERROR(K9/G9,0))</f>
        <v/>
      </c>
    </row>
    <row r="10">
      <c r="A10" s="9" t="n"/>
      <c r="B10" s="10" t="n"/>
      <c r="C10" s="11" t="n"/>
      <c r="D10" s="10" t="n"/>
      <c r="E10" s="11" t="n"/>
      <c r="F10" s="11" t="n"/>
      <c r="G10" s="12">
        <f>IF($B10="","",C10*D10)</f>
        <v/>
      </c>
      <c r="H10" s="12">
        <f>IF($B10="","",G10*(설정!$B$2+설정!$B$3))</f>
        <v/>
      </c>
      <c r="I10" s="12">
        <f>IF($B10="","",G10-H10)</f>
        <v/>
      </c>
      <c r="J10" s="12">
        <f>IF($B10="","",E10*D10+F10)</f>
        <v/>
      </c>
      <c r="K10" s="12">
        <f>IF($B10="","",I10-J10)</f>
        <v/>
      </c>
      <c r="L10" s="13">
        <f>IF($B10="","",IFERROR(K10/G10,0))</f>
        <v/>
      </c>
    </row>
    <row r="11">
      <c r="A11" s="9" t="n"/>
      <c r="B11" s="10" t="n"/>
      <c r="C11" s="11" t="n"/>
      <c r="D11" s="10" t="n"/>
      <c r="E11" s="11" t="n"/>
      <c r="F11" s="11" t="n"/>
      <c r="G11" s="12">
        <f>IF($B11="","",C11*D11)</f>
        <v/>
      </c>
      <c r="H11" s="12">
        <f>IF($B11="","",G11*(설정!$B$2+설정!$B$3))</f>
        <v/>
      </c>
      <c r="I11" s="12">
        <f>IF($B11="","",G11-H11)</f>
        <v/>
      </c>
      <c r="J11" s="12">
        <f>IF($B11="","",E11*D11+F11)</f>
        <v/>
      </c>
      <c r="K11" s="12">
        <f>IF($B11="","",I11-J11)</f>
        <v/>
      </c>
      <c r="L11" s="13">
        <f>IF($B11="","",IFERROR(K11/G11,0))</f>
        <v/>
      </c>
    </row>
    <row r="12">
      <c r="A12" s="9" t="n"/>
      <c r="B12" s="10" t="n"/>
      <c r="C12" s="11" t="n"/>
      <c r="D12" s="10" t="n"/>
      <c r="E12" s="11" t="n"/>
      <c r="F12" s="11" t="n"/>
      <c r="G12" s="12">
        <f>IF($B12="","",C12*D12)</f>
        <v/>
      </c>
      <c r="H12" s="12">
        <f>IF($B12="","",G12*(설정!$B$2+설정!$B$3))</f>
        <v/>
      </c>
      <c r="I12" s="12">
        <f>IF($B12="","",G12-H12)</f>
        <v/>
      </c>
      <c r="J12" s="12">
        <f>IF($B12="","",E12*D12+F12)</f>
        <v/>
      </c>
      <c r="K12" s="12">
        <f>IF($B12="","",I12-J12)</f>
        <v/>
      </c>
      <c r="L12" s="13">
        <f>IF($B12="","",IFERROR(K12/G12,0))</f>
        <v/>
      </c>
    </row>
    <row r="13">
      <c r="A13" s="9" t="n"/>
      <c r="B13" s="10" t="n"/>
      <c r="C13" s="11" t="n"/>
      <c r="D13" s="10" t="n"/>
      <c r="E13" s="11" t="n"/>
      <c r="F13" s="11" t="n"/>
      <c r="G13" s="12">
        <f>IF($B13="","",C13*D13)</f>
        <v/>
      </c>
      <c r="H13" s="12">
        <f>IF($B13="","",G13*(설정!$B$2+설정!$B$3))</f>
        <v/>
      </c>
      <c r="I13" s="12">
        <f>IF($B13="","",G13-H13)</f>
        <v/>
      </c>
      <c r="J13" s="12">
        <f>IF($B13="","",E13*D13+F13)</f>
        <v/>
      </c>
      <c r="K13" s="12">
        <f>IF($B13="","",I13-J13)</f>
        <v/>
      </c>
      <c r="L13" s="13">
        <f>IF($B13="","",IFERROR(K13/G13,0))</f>
        <v/>
      </c>
    </row>
    <row r="14">
      <c r="A14" s="9" t="n"/>
      <c r="B14" s="10" t="n"/>
      <c r="C14" s="11" t="n"/>
      <c r="D14" s="10" t="n"/>
      <c r="E14" s="11" t="n"/>
      <c r="F14" s="11" t="n"/>
      <c r="G14" s="12">
        <f>IF($B14="","",C14*D14)</f>
        <v/>
      </c>
      <c r="H14" s="12">
        <f>IF($B14="","",G14*(설정!$B$2+설정!$B$3))</f>
        <v/>
      </c>
      <c r="I14" s="12">
        <f>IF($B14="","",G14-H14)</f>
        <v/>
      </c>
      <c r="J14" s="12">
        <f>IF($B14="","",E14*D14+F14)</f>
        <v/>
      </c>
      <c r="K14" s="12">
        <f>IF($B14="","",I14-J14)</f>
        <v/>
      </c>
      <c r="L14" s="13">
        <f>IF($B14="","",IFERROR(K14/G14,0))</f>
        <v/>
      </c>
    </row>
    <row r="15">
      <c r="A15" s="9" t="n"/>
      <c r="B15" s="10" t="n"/>
      <c r="C15" s="11" t="n"/>
      <c r="D15" s="10" t="n"/>
      <c r="E15" s="11" t="n"/>
      <c r="F15" s="11" t="n"/>
      <c r="G15" s="12">
        <f>IF($B15="","",C15*D15)</f>
        <v/>
      </c>
      <c r="H15" s="12">
        <f>IF($B15="","",G15*(설정!$B$2+설정!$B$3))</f>
        <v/>
      </c>
      <c r="I15" s="12">
        <f>IF($B15="","",G15-H15)</f>
        <v/>
      </c>
      <c r="J15" s="12">
        <f>IF($B15="","",E15*D15+F15)</f>
        <v/>
      </c>
      <c r="K15" s="12">
        <f>IF($B15="","",I15-J15)</f>
        <v/>
      </c>
      <c r="L15" s="13">
        <f>IF($B15="","",IFERROR(K15/G15,0))</f>
        <v/>
      </c>
    </row>
    <row r="16">
      <c r="A16" s="9" t="n"/>
      <c r="B16" s="10" t="n"/>
      <c r="C16" s="11" t="n"/>
      <c r="D16" s="10" t="n"/>
      <c r="E16" s="11" t="n"/>
      <c r="F16" s="11" t="n"/>
      <c r="G16" s="12">
        <f>IF($B16="","",C16*D16)</f>
        <v/>
      </c>
      <c r="H16" s="12">
        <f>IF($B16="","",G16*(설정!$B$2+설정!$B$3))</f>
        <v/>
      </c>
      <c r="I16" s="12">
        <f>IF($B16="","",G16-H16)</f>
        <v/>
      </c>
      <c r="J16" s="12">
        <f>IF($B16="","",E16*D16+F16)</f>
        <v/>
      </c>
      <c r="K16" s="12">
        <f>IF($B16="","",I16-J16)</f>
        <v/>
      </c>
      <c r="L16" s="13">
        <f>IF($B16="","",IFERROR(K16/G16,0))</f>
        <v/>
      </c>
    </row>
    <row r="17">
      <c r="A17" s="9" t="n"/>
      <c r="B17" s="10" t="n"/>
      <c r="C17" s="11" t="n"/>
      <c r="D17" s="10" t="n"/>
      <c r="E17" s="11" t="n"/>
      <c r="F17" s="11" t="n"/>
      <c r="G17" s="12">
        <f>IF($B17="","",C17*D17)</f>
        <v/>
      </c>
      <c r="H17" s="12">
        <f>IF($B17="","",G17*(설정!$B$2+설정!$B$3))</f>
        <v/>
      </c>
      <c r="I17" s="12">
        <f>IF($B17="","",G17-H17)</f>
        <v/>
      </c>
      <c r="J17" s="12">
        <f>IF($B17="","",E17*D17+F17)</f>
        <v/>
      </c>
      <c r="K17" s="12">
        <f>IF($B17="","",I17-J17)</f>
        <v/>
      </c>
      <c r="L17" s="13">
        <f>IF($B17="","",IFERROR(K17/G17,0))</f>
        <v/>
      </c>
    </row>
    <row r="18">
      <c r="A18" s="9" t="n"/>
      <c r="B18" s="10" t="n"/>
      <c r="C18" s="11" t="n"/>
      <c r="D18" s="10" t="n"/>
      <c r="E18" s="11" t="n"/>
      <c r="F18" s="11" t="n"/>
      <c r="G18" s="12">
        <f>IF($B18="","",C18*D18)</f>
        <v/>
      </c>
      <c r="H18" s="12">
        <f>IF($B18="","",G18*(설정!$B$2+설정!$B$3))</f>
        <v/>
      </c>
      <c r="I18" s="12">
        <f>IF($B18="","",G18-H18)</f>
        <v/>
      </c>
      <c r="J18" s="12">
        <f>IF($B18="","",E18*D18+F18)</f>
        <v/>
      </c>
      <c r="K18" s="12">
        <f>IF($B18="","",I18-J18)</f>
        <v/>
      </c>
      <c r="L18" s="13">
        <f>IF($B18="","",IFERROR(K18/G18,0))</f>
        <v/>
      </c>
    </row>
    <row r="19">
      <c r="A19" s="9" t="n"/>
      <c r="B19" s="10" t="n"/>
      <c r="C19" s="11" t="n"/>
      <c r="D19" s="10" t="n"/>
      <c r="E19" s="11" t="n"/>
      <c r="F19" s="11" t="n"/>
      <c r="G19" s="12">
        <f>IF($B19="","",C19*D19)</f>
        <v/>
      </c>
      <c r="H19" s="12">
        <f>IF($B19="","",G19*(설정!$B$2+설정!$B$3))</f>
        <v/>
      </c>
      <c r="I19" s="12">
        <f>IF($B19="","",G19-H19)</f>
        <v/>
      </c>
      <c r="J19" s="12">
        <f>IF($B19="","",E19*D19+F19)</f>
        <v/>
      </c>
      <c r="K19" s="12">
        <f>IF($B19="","",I19-J19)</f>
        <v/>
      </c>
      <c r="L19" s="13">
        <f>IF($B19="","",IFERROR(K19/G19,0))</f>
        <v/>
      </c>
    </row>
    <row r="20">
      <c r="A20" s="9" t="n"/>
      <c r="B20" s="10" t="n"/>
      <c r="C20" s="11" t="n"/>
      <c r="D20" s="10" t="n"/>
      <c r="E20" s="11" t="n"/>
      <c r="F20" s="11" t="n"/>
      <c r="G20" s="12">
        <f>IF($B20="","",C20*D20)</f>
        <v/>
      </c>
      <c r="H20" s="12">
        <f>IF($B20="","",G20*(설정!$B$2+설정!$B$3))</f>
        <v/>
      </c>
      <c r="I20" s="12">
        <f>IF($B20="","",G20-H20)</f>
        <v/>
      </c>
      <c r="J20" s="12">
        <f>IF($B20="","",E20*D20+F20)</f>
        <v/>
      </c>
      <c r="K20" s="12">
        <f>IF($B20="","",I20-J20)</f>
        <v/>
      </c>
      <c r="L20" s="13">
        <f>IF($B20="","",IFERROR(K20/G20,0))</f>
        <v/>
      </c>
    </row>
    <row r="21">
      <c r="A21" s="9" t="n"/>
      <c r="B21" s="10" t="n"/>
      <c r="C21" s="11" t="n"/>
      <c r="D21" s="10" t="n"/>
      <c r="E21" s="11" t="n"/>
      <c r="F21" s="11" t="n"/>
      <c r="G21" s="12">
        <f>IF($B21="","",C21*D21)</f>
        <v/>
      </c>
      <c r="H21" s="12">
        <f>IF($B21="","",G21*(설정!$B$2+설정!$B$3))</f>
        <v/>
      </c>
      <c r="I21" s="12">
        <f>IF($B21="","",G21-H21)</f>
        <v/>
      </c>
      <c r="J21" s="12">
        <f>IF($B21="","",E21*D21+F21)</f>
        <v/>
      </c>
      <c r="K21" s="12">
        <f>IF($B21="","",I21-J21)</f>
        <v/>
      </c>
      <c r="L21" s="13">
        <f>IF($B21="","",IFERROR(K21/G21,0))</f>
        <v/>
      </c>
    </row>
    <row r="22">
      <c r="A22" s="9" t="n"/>
      <c r="B22" s="10" t="n"/>
      <c r="C22" s="11" t="n"/>
      <c r="D22" s="10" t="n"/>
      <c r="E22" s="11" t="n"/>
      <c r="F22" s="11" t="n"/>
      <c r="G22" s="12">
        <f>IF($B22="","",C22*D22)</f>
        <v/>
      </c>
      <c r="H22" s="12">
        <f>IF($B22="","",G22*(설정!$B$2+설정!$B$3))</f>
        <v/>
      </c>
      <c r="I22" s="12">
        <f>IF($B22="","",G22-H22)</f>
        <v/>
      </c>
      <c r="J22" s="12">
        <f>IF($B22="","",E22*D22+F22)</f>
        <v/>
      </c>
      <c r="K22" s="12">
        <f>IF($B22="","",I22-J22)</f>
        <v/>
      </c>
      <c r="L22" s="13">
        <f>IF($B22="","",IFERROR(K22/G22,0))</f>
        <v/>
      </c>
    </row>
    <row r="23">
      <c r="A23" s="9" t="n"/>
      <c r="B23" s="10" t="n"/>
      <c r="C23" s="11" t="n"/>
      <c r="D23" s="10" t="n"/>
      <c r="E23" s="11" t="n"/>
      <c r="F23" s="11" t="n"/>
      <c r="G23" s="12">
        <f>IF($B23="","",C23*D23)</f>
        <v/>
      </c>
      <c r="H23" s="12">
        <f>IF($B23="","",G23*(설정!$B$2+설정!$B$3))</f>
        <v/>
      </c>
      <c r="I23" s="12">
        <f>IF($B23="","",G23-H23)</f>
        <v/>
      </c>
      <c r="J23" s="12">
        <f>IF($B23="","",E23*D23+F23)</f>
        <v/>
      </c>
      <c r="K23" s="12">
        <f>IF($B23="","",I23-J23)</f>
        <v/>
      </c>
      <c r="L23" s="13">
        <f>IF($B23="","",IFERROR(K23/G23,0))</f>
        <v/>
      </c>
    </row>
    <row r="24">
      <c r="A24" s="9" t="n"/>
      <c r="B24" s="10" t="n"/>
      <c r="C24" s="11" t="n"/>
      <c r="D24" s="10" t="n"/>
      <c r="E24" s="11" t="n"/>
      <c r="F24" s="11" t="n"/>
      <c r="G24" s="12">
        <f>IF($B24="","",C24*D24)</f>
        <v/>
      </c>
      <c r="H24" s="12">
        <f>IF($B24="","",G24*(설정!$B$2+설정!$B$3))</f>
        <v/>
      </c>
      <c r="I24" s="12">
        <f>IF($B24="","",G24-H24)</f>
        <v/>
      </c>
      <c r="J24" s="12">
        <f>IF($B24="","",E24*D24+F24)</f>
        <v/>
      </c>
      <c r="K24" s="12">
        <f>IF($B24="","",I24-J24)</f>
        <v/>
      </c>
      <c r="L24" s="13">
        <f>IF($B24="","",IFERROR(K24/G24,0))</f>
        <v/>
      </c>
    </row>
    <row r="25">
      <c r="A25" s="9" t="n"/>
      <c r="B25" s="10" t="n"/>
      <c r="C25" s="11" t="n"/>
      <c r="D25" s="10" t="n"/>
      <c r="E25" s="11" t="n"/>
      <c r="F25" s="11" t="n"/>
      <c r="G25" s="12">
        <f>IF($B25="","",C25*D25)</f>
        <v/>
      </c>
      <c r="H25" s="12">
        <f>IF($B25="","",G25*(설정!$B$2+설정!$B$3))</f>
        <v/>
      </c>
      <c r="I25" s="12">
        <f>IF($B25="","",G25-H25)</f>
        <v/>
      </c>
      <c r="J25" s="12">
        <f>IF($B25="","",E25*D25+F25)</f>
        <v/>
      </c>
      <c r="K25" s="12">
        <f>IF($B25="","",I25-J25)</f>
        <v/>
      </c>
      <c r="L25" s="13">
        <f>IF($B25="","",IFERROR(K25/G25,0))</f>
        <v/>
      </c>
    </row>
    <row r="26">
      <c r="A26" s="9" t="n"/>
      <c r="B26" s="10" t="n"/>
      <c r="C26" s="11" t="n"/>
      <c r="D26" s="10" t="n"/>
      <c r="E26" s="11" t="n"/>
      <c r="F26" s="11" t="n"/>
      <c r="G26" s="12">
        <f>IF($B26="","",C26*D26)</f>
        <v/>
      </c>
      <c r="H26" s="12">
        <f>IF($B26="","",G26*(설정!$B$2+설정!$B$3))</f>
        <v/>
      </c>
      <c r="I26" s="12">
        <f>IF($B26="","",G26-H26)</f>
        <v/>
      </c>
      <c r="J26" s="12">
        <f>IF($B26="","",E26*D26+F26)</f>
        <v/>
      </c>
      <c r="K26" s="12">
        <f>IF($B26="","",I26-J26)</f>
        <v/>
      </c>
      <c r="L26" s="13">
        <f>IF($B26="","",IFERROR(K26/G26,0))</f>
        <v/>
      </c>
    </row>
    <row r="27">
      <c r="A27" s="9" t="n"/>
      <c r="B27" s="10" t="n"/>
      <c r="C27" s="11" t="n"/>
      <c r="D27" s="10" t="n"/>
      <c r="E27" s="11" t="n"/>
      <c r="F27" s="11" t="n"/>
      <c r="G27" s="12">
        <f>IF($B27="","",C27*D27)</f>
        <v/>
      </c>
      <c r="H27" s="12">
        <f>IF($B27="","",G27*(설정!$B$2+설정!$B$3))</f>
        <v/>
      </c>
      <c r="I27" s="12">
        <f>IF($B27="","",G27-H27)</f>
        <v/>
      </c>
      <c r="J27" s="12">
        <f>IF($B27="","",E27*D27+F27)</f>
        <v/>
      </c>
      <c r="K27" s="12">
        <f>IF($B27="","",I27-J27)</f>
        <v/>
      </c>
      <c r="L27" s="13">
        <f>IF($B27="","",IFERROR(K27/G27,0))</f>
        <v/>
      </c>
    </row>
    <row r="28">
      <c r="A28" s="9" t="n"/>
      <c r="B28" s="10" t="n"/>
      <c r="C28" s="11" t="n"/>
      <c r="D28" s="10" t="n"/>
      <c r="E28" s="11" t="n"/>
      <c r="F28" s="11" t="n"/>
      <c r="G28" s="12">
        <f>IF($B28="","",C28*D28)</f>
        <v/>
      </c>
      <c r="H28" s="12">
        <f>IF($B28="","",G28*(설정!$B$2+설정!$B$3))</f>
        <v/>
      </c>
      <c r="I28" s="12">
        <f>IF($B28="","",G28-H28)</f>
        <v/>
      </c>
      <c r="J28" s="12">
        <f>IF($B28="","",E28*D28+F28)</f>
        <v/>
      </c>
      <c r="K28" s="12">
        <f>IF($B28="","",I28-J28)</f>
        <v/>
      </c>
      <c r="L28" s="13">
        <f>IF($B28="","",IFERROR(K28/G28,0))</f>
        <v/>
      </c>
    </row>
    <row r="29">
      <c r="A29" s="9" t="n"/>
      <c r="B29" s="10" t="n"/>
      <c r="C29" s="11" t="n"/>
      <c r="D29" s="10" t="n"/>
      <c r="E29" s="11" t="n"/>
      <c r="F29" s="11" t="n"/>
      <c r="G29" s="12">
        <f>IF($B29="","",C29*D29)</f>
        <v/>
      </c>
      <c r="H29" s="12">
        <f>IF($B29="","",G29*(설정!$B$2+설정!$B$3))</f>
        <v/>
      </c>
      <c r="I29" s="12">
        <f>IF($B29="","",G29-H29)</f>
        <v/>
      </c>
      <c r="J29" s="12">
        <f>IF($B29="","",E29*D29+F29)</f>
        <v/>
      </c>
      <c r="K29" s="12">
        <f>IF($B29="","",I29-J29)</f>
        <v/>
      </c>
      <c r="L29" s="13">
        <f>IF($B29="","",IFERROR(K29/G29,0))</f>
        <v/>
      </c>
    </row>
    <row r="30">
      <c r="A30" s="9" t="n"/>
      <c r="B30" s="10" t="n"/>
      <c r="C30" s="11" t="n"/>
      <c r="D30" s="10" t="n"/>
      <c r="E30" s="11" t="n"/>
      <c r="F30" s="11" t="n"/>
      <c r="G30" s="12">
        <f>IF($B30="","",C30*D30)</f>
        <v/>
      </c>
      <c r="H30" s="12">
        <f>IF($B30="","",G30*(설정!$B$2+설정!$B$3))</f>
        <v/>
      </c>
      <c r="I30" s="12">
        <f>IF($B30="","",G30-H30)</f>
        <v/>
      </c>
      <c r="J30" s="12">
        <f>IF($B30="","",E30*D30+F30)</f>
        <v/>
      </c>
      <c r="K30" s="12">
        <f>IF($B30="","",I30-J30)</f>
        <v/>
      </c>
      <c r="L30" s="13">
        <f>IF($B30="","",IFERROR(K30/G30,0))</f>
        <v/>
      </c>
    </row>
    <row r="31">
      <c r="A31" s="9" t="n"/>
      <c r="B31" s="10" t="n"/>
      <c r="C31" s="11" t="n"/>
      <c r="D31" s="10" t="n"/>
      <c r="E31" s="11" t="n"/>
      <c r="F31" s="11" t="n"/>
      <c r="G31" s="12">
        <f>IF($B31="","",C31*D31)</f>
        <v/>
      </c>
      <c r="H31" s="12">
        <f>IF($B31="","",G31*(설정!$B$2+설정!$B$3))</f>
        <v/>
      </c>
      <c r="I31" s="12">
        <f>IF($B31="","",G31-H31)</f>
        <v/>
      </c>
      <c r="J31" s="12">
        <f>IF($B31="","",E31*D31+F31)</f>
        <v/>
      </c>
      <c r="K31" s="12">
        <f>IF($B31="","",I31-J31)</f>
        <v/>
      </c>
      <c r="L31" s="13">
        <f>IF($B31="","",IFERROR(K31/G31,0))</f>
        <v/>
      </c>
    </row>
    <row r="32">
      <c r="A32" s="9" t="n"/>
      <c r="B32" s="10" t="n"/>
      <c r="C32" s="11" t="n"/>
      <c r="D32" s="10" t="n"/>
      <c r="E32" s="11" t="n"/>
      <c r="F32" s="11" t="n"/>
      <c r="G32" s="12">
        <f>IF($B32="","",C32*D32)</f>
        <v/>
      </c>
      <c r="H32" s="12">
        <f>IF($B32="","",G32*(설정!$B$2+설정!$B$3))</f>
        <v/>
      </c>
      <c r="I32" s="12">
        <f>IF($B32="","",G32-H32)</f>
        <v/>
      </c>
      <c r="J32" s="12">
        <f>IF($B32="","",E32*D32+F32)</f>
        <v/>
      </c>
      <c r="K32" s="12">
        <f>IF($B32="","",I32-J32)</f>
        <v/>
      </c>
      <c r="L32" s="13">
        <f>IF($B32="","",IFERROR(K32/G32,0))</f>
        <v/>
      </c>
    </row>
    <row r="33">
      <c r="A33" s="9" t="n"/>
      <c r="B33" s="10" t="n"/>
      <c r="C33" s="11" t="n"/>
      <c r="D33" s="10" t="n"/>
      <c r="E33" s="11" t="n"/>
      <c r="F33" s="11" t="n"/>
      <c r="G33" s="12">
        <f>IF($B33="","",C33*D33)</f>
        <v/>
      </c>
      <c r="H33" s="12">
        <f>IF($B33="","",G33*(설정!$B$2+설정!$B$3))</f>
        <v/>
      </c>
      <c r="I33" s="12">
        <f>IF($B33="","",G33-H33)</f>
        <v/>
      </c>
      <c r="J33" s="12">
        <f>IF($B33="","",E33*D33+F33)</f>
        <v/>
      </c>
      <c r="K33" s="12">
        <f>IF($B33="","",I33-J33)</f>
        <v/>
      </c>
      <c r="L33" s="13">
        <f>IF($B33="","",IFERROR(K33/G33,0))</f>
        <v/>
      </c>
    </row>
    <row r="34">
      <c r="A34" s="9" t="n"/>
      <c r="B34" s="10" t="n"/>
      <c r="C34" s="11" t="n"/>
      <c r="D34" s="10" t="n"/>
      <c r="E34" s="11" t="n"/>
      <c r="F34" s="11" t="n"/>
      <c r="G34" s="12">
        <f>IF($B34="","",C34*D34)</f>
        <v/>
      </c>
      <c r="H34" s="12">
        <f>IF($B34="","",G34*(설정!$B$2+설정!$B$3))</f>
        <v/>
      </c>
      <c r="I34" s="12">
        <f>IF($B34="","",G34-H34)</f>
        <v/>
      </c>
      <c r="J34" s="12">
        <f>IF($B34="","",E34*D34+F34)</f>
        <v/>
      </c>
      <c r="K34" s="12">
        <f>IF($B34="","",I34-J34)</f>
        <v/>
      </c>
      <c r="L34" s="13">
        <f>IF($B34="","",IFERROR(K34/G34,0))</f>
        <v/>
      </c>
    </row>
    <row r="35">
      <c r="A35" s="9" t="n"/>
      <c r="B35" s="10" t="n"/>
      <c r="C35" s="11" t="n"/>
      <c r="D35" s="10" t="n"/>
      <c r="E35" s="11" t="n"/>
      <c r="F35" s="11" t="n"/>
      <c r="G35" s="12">
        <f>IF($B35="","",C35*D35)</f>
        <v/>
      </c>
      <c r="H35" s="12">
        <f>IF($B35="","",G35*(설정!$B$2+설정!$B$3))</f>
        <v/>
      </c>
      <c r="I35" s="12">
        <f>IF($B35="","",G35-H35)</f>
        <v/>
      </c>
      <c r="J35" s="12">
        <f>IF($B35="","",E35*D35+F35)</f>
        <v/>
      </c>
      <c r="K35" s="12">
        <f>IF($B35="","",I35-J35)</f>
        <v/>
      </c>
      <c r="L35" s="13">
        <f>IF($B35="","",IFERROR(K35/G35,0))</f>
        <v/>
      </c>
    </row>
    <row r="36">
      <c r="A36" s="9" t="n"/>
      <c r="B36" s="10" t="n"/>
      <c r="C36" s="11" t="n"/>
      <c r="D36" s="10" t="n"/>
      <c r="E36" s="11" t="n"/>
      <c r="F36" s="11" t="n"/>
      <c r="G36" s="12">
        <f>IF($B36="","",C36*D36)</f>
        <v/>
      </c>
      <c r="H36" s="12">
        <f>IF($B36="","",G36*(설정!$B$2+설정!$B$3))</f>
        <v/>
      </c>
      <c r="I36" s="12">
        <f>IF($B36="","",G36-H36)</f>
        <v/>
      </c>
      <c r="J36" s="12">
        <f>IF($B36="","",E36*D36+F36)</f>
        <v/>
      </c>
      <c r="K36" s="12">
        <f>IF($B36="","",I36-J36)</f>
        <v/>
      </c>
      <c r="L36" s="13">
        <f>IF($B36="","",IFERROR(K36/G36,0))</f>
        <v/>
      </c>
    </row>
    <row r="37">
      <c r="A37" s="9" t="n"/>
      <c r="B37" s="10" t="n"/>
      <c r="C37" s="11" t="n"/>
      <c r="D37" s="10" t="n"/>
      <c r="E37" s="11" t="n"/>
      <c r="F37" s="11" t="n"/>
      <c r="G37" s="12">
        <f>IF($B37="","",C37*D37)</f>
        <v/>
      </c>
      <c r="H37" s="12">
        <f>IF($B37="","",G37*(설정!$B$2+설정!$B$3))</f>
        <v/>
      </c>
      <c r="I37" s="12">
        <f>IF($B37="","",G37-H37)</f>
        <v/>
      </c>
      <c r="J37" s="12">
        <f>IF($B37="","",E37*D37+F37)</f>
        <v/>
      </c>
      <c r="K37" s="12">
        <f>IF($B37="","",I37-J37)</f>
        <v/>
      </c>
      <c r="L37" s="13">
        <f>IF($B37="","",IFERROR(K37/G37,0))</f>
        <v/>
      </c>
    </row>
    <row r="38">
      <c r="A38" s="9" t="n"/>
      <c r="B38" s="10" t="n"/>
      <c r="C38" s="11" t="n"/>
      <c r="D38" s="10" t="n"/>
      <c r="E38" s="11" t="n"/>
      <c r="F38" s="11" t="n"/>
      <c r="G38" s="12">
        <f>IF($B38="","",C38*D38)</f>
        <v/>
      </c>
      <c r="H38" s="12">
        <f>IF($B38="","",G38*(설정!$B$2+설정!$B$3))</f>
        <v/>
      </c>
      <c r="I38" s="12">
        <f>IF($B38="","",G38-H38)</f>
        <v/>
      </c>
      <c r="J38" s="12">
        <f>IF($B38="","",E38*D38+F38)</f>
        <v/>
      </c>
      <c r="K38" s="12">
        <f>IF($B38="","",I38-J38)</f>
        <v/>
      </c>
      <c r="L38" s="13">
        <f>IF($B38="","",IFERROR(K38/G38,0))</f>
        <v/>
      </c>
    </row>
    <row r="39">
      <c r="A39" s="9" t="n"/>
      <c r="B39" s="10" t="n"/>
      <c r="C39" s="11" t="n"/>
      <c r="D39" s="10" t="n"/>
      <c r="E39" s="11" t="n"/>
      <c r="F39" s="11" t="n"/>
      <c r="G39" s="12">
        <f>IF($B39="","",C39*D39)</f>
        <v/>
      </c>
      <c r="H39" s="12">
        <f>IF($B39="","",G39*(설정!$B$2+설정!$B$3))</f>
        <v/>
      </c>
      <c r="I39" s="12">
        <f>IF($B39="","",G39-H39)</f>
        <v/>
      </c>
      <c r="J39" s="12">
        <f>IF($B39="","",E39*D39+F39)</f>
        <v/>
      </c>
      <c r="K39" s="12">
        <f>IF($B39="","",I39-J39)</f>
        <v/>
      </c>
      <c r="L39" s="13">
        <f>IF($B39="","",IFERROR(K39/G39,0))</f>
        <v/>
      </c>
    </row>
    <row r="40">
      <c r="A40" s="9" t="n"/>
      <c r="B40" s="10" t="n"/>
      <c r="C40" s="11" t="n"/>
      <c r="D40" s="10" t="n"/>
      <c r="E40" s="11" t="n"/>
      <c r="F40" s="11" t="n"/>
      <c r="G40" s="12">
        <f>IF($B40="","",C40*D40)</f>
        <v/>
      </c>
      <c r="H40" s="12">
        <f>IF($B40="","",G40*(설정!$B$2+설정!$B$3))</f>
        <v/>
      </c>
      <c r="I40" s="12">
        <f>IF($B40="","",G40-H40)</f>
        <v/>
      </c>
      <c r="J40" s="12">
        <f>IF($B40="","",E40*D40+F40)</f>
        <v/>
      </c>
      <c r="K40" s="12">
        <f>IF($B40="","",I40-J40)</f>
        <v/>
      </c>
      <c r="L40" s="13">
        <f>IF($B40="","",IFERROR(K40/G40,0))</f>
        <v/>
      </c>
    </row>
    <row r="41">
      <c r="A41" s="9" t="n"/>
      <c r="B41" s="10" t="n"/>
      <c r="C41" s="11" t="n"/>
      <c r="D41" s="10" t="n"/>
      <c r="E41" s="11" t="n"/>
      <c r="F41" s="11" t="n"/>
      <c r="G41" s="12">
        <f>IF($B41="","",C41*D41)</f>
        <v/>
      </c>
      <c r="H41" s="12">
        <f>IF($B41="","",G41*(설정!$B$2+설정!$B$3))</f>
        <v/>
      </c>
      <c r="I41" s="12">
        <f>IF($B41="","",G41-H41)</f>
        <v/>
      </c>
      <c r="J41" s="12">
        <f>IF($B41="","",E41*D41+F41)</f>
        <v/>
      </c>
      <c r="K41" s="12">
        <f>IF($B41="","",I41-J41)</f>
        <v/>
      </c>
      <c r="L41" s="13">
        <f>IF($B41="","",IFERROR(K41/G41,0))</f>
        <v/>
      </c>
    </row>
    <row r="42">
      <c r="A42" s="9" t="n"/>
      <c r="B42" s="10" t="n"/>
      <c r="C42" s="11" t="n"/>
      <c r="D42" s="10" t="n"/>
      <c r="E42" s="11" t="n"/>
      <c r="F42" s="11" t="n"/>
      <c r="G42" s="12">
        <f>IF($B42="","",C42*D42)</f>
        <v/>
      </c>
      <c r="H42" s="12">
        <f>IF($B42="","",G42*(설정!$B$2+설정!$B$3))</f>
        <v/>
      </c>
      <c r="I42" s="12">
        <f>IF($B42="","",G42-H42)</f>
        <v/>
      </c>
      <c r="J42" s="12">
        <f>IF($B42="","",E42*D42+F42)</f>
        <v/>
      </c>
      <c r="K42" s="12">
        <f>IF($B42="","",I42-J42)</f>
        <v/>
      </c>
      <c r="L42" s="13">
        <f>IF($B42="","",IFERROR(K42/G42,0))</f>
        <v/>
      </c>
    </row>
    <row r="43">
      <c r="A43" s="9" t="n"/>
      <c r="B43" s="10" t="n"/>
      <c r="C43" s="11" t="n"/>
      <c r="D43" s="10" t="n"/>
      <c r="E43" s="11" t="n"/>
      <c r="F43" s="11" t="n"/>
      <c r="G43" s="12">
        <f>IF($B43="","",C43*D43)</f>
        <v/>
      </c>
      <c r="H43" s="12">
        <f>IF($B43="","",G43*(설정!$B$2+설정!$B$3))</f>
        <v/>
      </c>
      <c r="I43" s="12">
        <f>IF($B43="","",G43-H43)</f>
        <v/>
      </c>
      <c r="J43" s="12">
        <f>IF($B43="","",E43*D43+F43)</f>
        <v/>
      </c>
      <c r="K43" s="12">
        <f>IF($B43="","",I43-J43)</f>
        <v/>
      </c>
      <c r="L43" s="13">
        <f>IF($B43="","",IFERROR(K43/G43,0))</f>
        <v/>
      </c>
    </row>
    <row r="44">
      <c r="A44" s="9" t="n"/>
      <c r="B44" s="10" t="n"/>
      <c r="C44" s="11" t="n"/>
      <c r="D44" s="10" t="n"/>
      <c r="E44" s="11" t="n"/>
      <c r="F44" s="11" t="n"/>
      <c r="G44" s="12">
        <f>IF($B44="","",C44*D44)</f>
        <v/>
      </c>
      <c r="H44" s="12">
        <f>IF($B44="","",G44*(설정!$B$2+설정!$B$3))</f>
        <v/>
      </c>
      <c r="I44" s="12">
        <f>IF($B44="","",G44-H44)</f>
        <v/>
      </c>
      <c r="J44" s="12">
        <f>IF($B44="","",E44*D44+F44)</f>
        <v/>
      </c>
      <c r="K44" s="12">
        <f>IF($B44="","",I44-J44)</f>
        <v/>
      </c>
      <c r="L44" s="13">
        <f>IF($B44="","",IFERROR(K44/G44,0))</f>
        <v/>
      </c>
    </row>
    <row r="45">
      <c r="A45" s="9" t="n"/>
      <c r="B45" s="10" t="n"/>
      <c r="C45" s="11" t="n"/>
      <c r="D45" s="10" t="n"/>
      <c r="E45" s="11" t="n"/>
      <c r="F45" s="11" t="n"/>
      <c r="G45" s="12">
        <f>IF($B45="","",C45*D45)</f>
        <v/>
      </c>
      <c r="H45" s="12">
        <f>IF($B45="","",G45*(설정!$B$2+설정!$B$3))</f>
        <v/>
      </c>
      <c r="I45" s="12">
        <f>IF($B45="","",G45-H45)</f>
        <v/>
      </c>
      <c r="J45" s="12">
        <f>IF($B45="","",E45*D45+F45)</f>
        <v/>
      </c>
      <c r="K45" s="12">
        <f>IF($B45="","",I45-J45)</f>
        <v/>
      </c>
      <c r="L45" s="13">
        <f>IF($B45="","",IFERROR(K45/G45,0))</f>
        <v/>
      </c>
    </row>
    <row r="46">
      <c r="A46" s="9" t="n"/>
      <c r="B46" s="10" t="n"/>
      <c r="C46" s="11" t="n"/>
      <c r="D46" s="10" t="n"/>
      <c r="E46" s="11" t="n"/>
      <c r="F46" s="11" t="n"/>
      <c r="G46" s="12">
        <f>IF($B46="","",C46*D46)</f>
        <v/>
      </c>
      <c r="H46" s="12">
        <f>IF($B46="","",G46*(설정!$B$2+설정!$B$3))</f>
        <v/>
      </c>
      <c r="I46" s="12">
        <f>IF($B46="","",G46-H46)</f>
        <v/>
      </c>
      <c r="J46" s="12">
        <f>IF($B46="","",E46*D46+F46)</f>
        <v/>
      </c>
      <c r="K46" s="12">
        <f>IF($B46="","",I46-J46)</f>
        <v/>
      </c>
      <c r="L46" s="13">
        <f>IF($B46="","",IFERROR(K46/G46,0))</f>
        <v/>
      </c>
    </row>
    <row r="47">
      <c r="A47" s="9" t="n"/>
      <c r="B47" s="10" t="n"/>
      <c r="C47" s="11" t="n"/>
      <c r="D47" s="10" t="n"/>
      <c r="E47" s="11" t="n"/>
      <c r="F47" s="11" t="n"/>
      <c r="G47" s="12">
        <f>IF($B47="","",C47*D47)</f>
        <v/>
      </c>
      <c r="H47" s="12">
        <f>IF($B47="","",G47*(설정!$B$2+설정!$B$3))</f>
        <v/>
      </c>
      <c r="I47" s="12">
        <f>IF($B47="","",G47-H47)</f>
        <v/>
      </c>
      <c r="J47" s="12">
        <f>IF($B47="","",E47*D47+F47)</f>
        <v/>
      </c>
      <c r="K47" s="12">
        <f>IF($B47="","",I47-J47)</f>
        <v/>
      </c>
      <c r="L47" s="13">
        <f>IF($B47="","",IFERROR(K47/G47,0))</f>
        <v/>
      </c>
    </row>
    <row r="48">
      <c r="A48" s="9" t="n"/>
      <c r="B48" s="10" t="n"/>
      <c r="C48" s="11" t="n"/>
      <c r="D48" s="10" t="n"/>
      <c r="E48" s="11" t="n"/>
      <c r="F48" s="11" t="n"/>
      <c r="G48" s="12">
        <f>IF($B48="","",C48*D48)</f>
        <v/>
      </c>
      <c r="H48" s="12">
        <f>IF($B48="","",G48*(설정!$B$2+설정!$B$3))</f>
        <v/>
      </c>
      <c r="I48" s="12">
        <f>IF($B48="","",G48-H48)</f>
        <v/>
      </c>
      <c r="J48" s="12">
        <f>IF($B48="","",E48*D48+F48)</f>
        <v/>
      </c>
      <c r="K48" s="12">
        <f>IF($B48="","",I48-J48)</f>
        <v/>
      </c>
      <c r="L48" s="13">
        <f>IF($B48="","",IFERROR(K48/G48,0))</f>
        <v/>
      </c>
    </row>
    <row r="49">
      <c r="A49" s="9" t="n"/>
      <c r="B49" s="10" t="n"/>
      <c r="C49" s="11" t="n"/>
      <c r="D49" s="10" t="n"/>
      <c r="E49" s="11" t="n"/>
      <c r="F49" s="11" t="n"/>
      <c r="G49" s="12">
        <f>IF($B49="","",C49*D49)</f>
        <v/>
      </c>
      <c r="H49" s="12">
        <f>IF($B49="","",G49*(설정!$B$2+설정!$B$3))</f>
        <v/>
      </c>
      <c r="I49" s="12">
        <f>IF($B49="","",G49-H49)</f>
        <v/>
      </c>
      <c r="J49" s="12">
        <f>IF($B49="","",E49*D49+F49)</f>
        <v/>
      </c>
      <c r="K49" s="12">
        <f>IF($B49="","",I49-J49)</f>
        <v/>
      </c>
      <c r="L49" s="13">
        <f>IF($B49="","",IFERROR(K49/G49,0))</f>
        <v/>
      </c>
    </row>
    <row r="50">
      <c r="A50" s="9" t="n"/>
      <c r="B50" s="10" t="n"/>
      <c r="C50" s="11" t="n"/>
      <c r="D50" s="10" t="n"/>
      <c r="E50" s="11" t="n"/>
      <c r="F50" s="11" t="n"/>
      <c r="G50" s="12">
        <f>IF($B50="","",C50*D50)</f>
        <v/>
      </c>
      <c r="H50" s="12">
        <f>IF($B50="","",G50*(설정!$B$2+설정!$B$3))</f>
        <v/>
      </c>
      <c r="I50" s="12">
        <f>IF($B50="","",G50-H50)</f>
        <v/>
      </c>
      <c r="J50" s="12">
        <f>IF($B50="","",E50*D50+F50)</f>
        <v/>
      </c>
      <c r="K50" s="12">
        <f>IF($B50="","",I50-J50)</f>
        <v/>
      </c>
      <c r="L50" s="13">
        <f>IF($B50="","",IFERROR(K50/G50,0))</f>
        <v/>
      </c>
    </row>
    <row r="51">
      <c r="A51" s="9" t="n"/>
      <c r="B51" s="10" t="n"/>
      <c r="C51" s="11" t="n"/>
      <c r="D51" s="10" t="n"/>
      <c r="E51" s="11" t="n"/>
      <c r="F51" s="11" t="n"/>
      <c r="G51" s="12">
        <f>IF($B51="","",C51*D51)</f>
        <v/>
      </c>
      <c r="H51" s="12">
        <f>IF($B51="","",G51*(설정!$B$2+설정!$B$3))</f>
        <v/>
      </c>
      <c r="I51" s="12">
        <f>IF($B51="","",G51-H51)</f>
        <v/>
      </c>
      <c r="J51" s="12">
        <f>IF($B51="","",E51*D51+F51)</f>
        <v/>
      </c>
      <c r="K51" s="12">
        <f>IF($B51="","",I51-J51)</f>
        <v/>
      </c>
      <c r="L51" s="13">
        <f>IF($B51="","",IFERROR(K51/G51,0))</f>
        <v/>
      </c>
    </row>
    <row r="52">
      <c r="A52" s="9" t="n"/>
      <c r="B52" s="10" t="n"/>
      <c r="C52" s="11" t="n"/>
      <c r="D52" s="10" t="n"/>
      <c r="E52" s="11" t="n"/>
      <c r="F52" s="11" t="n"/>
      <c r="G52" s="12">
        <f>IF($B52="","",C52*D52)</f>
        <v/>
      </c>
      <c r="H52" s="12">
        <f>IF($B52="","",G52*(설정!$B$2+설정!$B$3))</f>
        <v/>
      </c>
      <c r="I52" s="12">
        <f>IF($B52="","",G52-H52)</f>
        <v/>
      </c>
      <c r="J52" s="12">
        <f>IF($B52="","",E52*D52+F52)</f>
        <v/>
      </c>
      <c r="K52" s="12">
        <f>IF($B52="","",I52-J52)</f>
        <v/>
      </c>
      <c r="L52" s="13">
        <f>IF($B52="","",IFERROR(K52/G52,0))</f>
        <v/>
      </c>
    </row>
    <row r="53">
      <c r="A53" s="9" t="n"/>
      <c r="B53" s="10" t="n"/>
      <c r="C53" s="11" t="n"/>
      <c r="D53" s="10" t="n"/>
      <c r="E53" s="11" t="n"/>
      <c r="F53" s="11" t="n"/>
      <c r="G53" s="12">
        <f>IF($B53="","",C53*D53)</f>
        <v/>
      </c>
      <c r="H53" s="12">
        <f>IF($B53="","",G53*(설정!$B$2+설정!$B$3))</f>
        <v/>
      </c>
      <c r="I53" s="12">
        <f>IF($B53="","",G53-H53)</f>
        <v/>
      </c>
      <c r="J53" s="12">
        <f>IF($B53="","",E53*D53+F53)</f>
        <v/>
      </c>
      <c r="K53" s="12">
        <f>IF($B53="","",I53-J53)</f>
        <v/>
      </c>
      <c r="L53" s="13">
        <f>IF($B53="","",IFERROR(K53/G53,0))</f>
        <v/>
      </c>
    </row>
    <row r="54">
      <c r="A54" s="9" t="n"/>
      <c r="B54" s="10" t="n"/>
      <c r="C54" s="11" t="n"/>
      <c r="D54" s="10" t="n"/>
      <c r="E54" s="11" t="n"/>
      <c r="F54" s="11" t="n"/>
      <c r="G54" s="12">
        <f>IF($B54="","",C54*D54)</f>
        <v/>
      </c>
      <c r="H54" s="12">
        <f>IF($B54="","",G54*(설정!$B$2+설정!$B$3))</f>
        <v/>
      </c>
      <c r="I54" s="12">
        <f>IF($B54="","",G54-H54)</f>
        <v/>
      </c>
      <c r="J54" s="12">
        <f>IF($B54="","",E54*D54+F54)</f>
        <v/>
      </c>
      <c r="K54" s="12">
        <f>IF($B54="","",I54-J54)</f>
        <v/>
      </c>
      <c r="L54" s="13">
        <f>IF($B54="","",IFERROR(K54/G54,0))</f>
        <v/>
      </c>
    </row>
    <row r="55">
      <c r="A55" s="9" t="n"/>
      <c r="B55" s="10" t="n"/>
      <c r="C55" s="11" t="n"/>
      <c r="D55" s="10" t="n"/>
      <c r="E55" s="11" t="n"/>
      <c r="F55" s="11" t="n"/>
      <c r="G55" s="12">
        <f>IF($B55="","",C55*D55)</f>
        <v/>
      </c>
      <c r="H55" s="12">
        <f>IF($B55="","",G55*(설정!$B$2+설정!$B$3))</f>
        <v/>
      </c>
      <c r="I55" s="12">
        <f>IF($B55="","",G55-H55)</f>
        <v/>
      </c>
      <c r="J55" s="12">
        <f>IF($B55="","",E55*D55+F55)</f>
        <v/>
      </c>
      <c r="K55" s="12">
        <f>IF($B55="","",I55-J55)</f>
        <v/>
      </c>
      <c r="L55" s="13">
        <f>IF($B55="","",IFERROR(K55/G55,0))</f>
        <v/>
      </c>
    </row>
    <row r="56">
      <c r="A56" s="9" t="n"/>
      <c r="B56" s="10" t="n"/>
      <c r="C56" s="11" t="n"/>
      <c r="D56" s="10" t="n"/>
      <c r="E56" s="11" t="n"/>
      <c r="F56" s="11" t="n"/>
      <c r="G56" s="12">
        <f>IF($B56="","",C56*D56)</f>
        <v/>
      </c>
      <c r="H56" s="12">
        <f>IF($B56="","",G56*(설정!$B$2+설정!$B$3))</f>
        <v/>
      </c>
      <c r="I56" s="12">
        <f>IF($B56="","",G56-H56)</f>
        <v/>
      </c>
      <c r="J56" s="12">
        <f>IF($B56="","",E56*D56+F56)</f>
        <v/>
      </c>
      <c r="K56" s="12">
        <f>IF($B56="","",I56-J56)</f>
        <v/>
      </c>
      <c r="L56" s="13">
        <f>IF($B56="","",IFERROR(K56/G56,0))</f>
        <v/>
      </c>
    </row>
    <row r="57">
      <c r="A57" s="9" t="n"/>
      <c r="B57" s="10" t="n"/>
      <c r="C57" s="11" t="n"/>
      <c r="D57" s="10" t="n"/>
      <c r="E57" s="11" t="n"/>
      <c r="F57" s="11" t="n"/>
      <c r="G57" s="12">
        <f>IF($B57="","",C57*D57)</f>
        <v/>
      </c>
      <c r="H57" s="12">
        <f>IF($B57="","",G57*(설정!$B$2+설정!$B$3))</f>
        <v/>
      </c>
      <c r="I57" s="12">
        <f>IF($B57="","",G57-H57)</f>
        <v/>
      </c>
      <c r="J57" s="12">
        <f>IF($B57="","",E57*D57+F57)</f>
        <v/>
      </c>
      <c r="K57" s="12">
        <f>IF($B57="","",I57-J57)</f>
        <v/>
      </c>
      <c r="L57" s="13">
        <f>IF($B57="","",IFERROR(K57/G57,0))</f>
        <v/>
      </c>
    </row>
    <row r="58">
      <c r="A58" s="9" t="n"/>
      <c r="B58" s="10" t="n"/>
      <c r="C58" s="11" t="n"/>
      <c r="D58" s="10" t="n"/>
      <c r="E58" s="11" t="n"/>
      <c r="F58" s="11" t="n"/>
      <c r="G58" s="12">
        <f>IF($B58="","",C58*D58)</f>
        <v/>
      </c>
      <c r="H58" s="12">
        <f>IF($B58="","",G58*(설정!$B$2+설정!$B$3))</f>
        <v/>
      </c>
      <c r="I58" s="12">
        <f>IF($B58="","",G58-H58)</f>
        <v/>
      </c>
      <c r="J58" s="12">
        <f>IF($B58="","",E58*D58+F58)</f>
        <v/>
      </c>
      <c r="K58" s="12">
        <f>IF($B58="","",I58-J58)</f>
        <v/>
      </c>
      <c r="L58" s="13">
        <f>IF($B58="","",IFERROR(K58/G58,0))</f>
        <v/>
      </c>
    </row>
    <row r="59">
      <c r="A59" s="9" t="n"/>
      <c r="B59" s="10" t="n"/>
      <c r="C59" s="11" t="n"/>
      <c r="D59" s="10" t="n"/>
      <c r="E59" s="11" t="n"/>
      <c r="F59" s="11" t="n"/>
      <c r="G59" s="12">
        <f>IF($B59="","",C59*D59)</f>
        <v/>
      </c>
      <c r="H59" s="12">
        <f>IF($B59="","",G59*(설정!$B$2+설정!$B$3))</f>
        <v/>
      </c>
      <c r="I59" s="12">
        <f>IF($B59="","",G59-H59)</f>
        <v/>
      </c>
      <c r="J59" s="12">
        <f>IF($B59="","",E59*D59+F59)</f>
        <v/>
      </c>
      <c r="K59" s="12">
        <f>IF($B59="","",I59-J59)</f>
        <v/>
      </c>
      <c r="L59" s="13">
        <f>IF($B59="","",IFERROR(K59/G59,0))</f>
        <v/>
      </c>
    </row>
    <row r="60">
      <c r="A60" s="9" t="n"/>
      <c r="B60" s="10" t="n"/>
      <c r="C60" s="11" t="n"/>
      <c r="D60" s="10" t="n"/>
      <c r="E60" s="11" t="n"/>
      <c r="F60" s="11" t="n"/>
      <c r="G60" s="12">
        <f>IF($B60="","",C60*D60)</f>
        <v/>
      </c>
      <c r="H60" s="12">
        <f>IF($B60="","",G60*(설정!$B$2+설정!$B$3))</f>
        <v/>
      </c>
      <c r="I60" s="12">
        <f>IF($B60="","",G60-H60)</f>
        <v/>
      </c>
      <c r="J60" s="12">
        <f>IF($B60="","",E60*D60+F60)</f>
        <v/>
      </c>
      <c r="K60" s="12">
        <f>IF($B60="","",I60-J60)</f>
        <v/>
      </c>
      <c r="L60" s="13">
        <f>IF($B60="","",IFERROR(K60/G60,0))</f>
        <v/>
      </c>
    </row>
    <row r="61">
      <c r="A61" s="9" t="n"/>
      <c r="B61" s="10" t="n"/>
      <c r="C61" s="11" t="n"/>
      <c r="D61" s="10" t="n"/>
      <c r="E61" s="11" t="n"/>
      <c r="F61" s="11" t="n"/>
      <c r="G61" s="12">
        <f>IF($B61="","",C61*D61)</f>
        <v/>
      </c>
      <c r="H61" s="12">
        <f>IF($B61="","",G61*(설정!$B$2+설정!$B$3))</f>
        <v/>
      </c>
      <c r="I61" s="12">
        <f>IF($B61="","",G61-H61)</f>
        <v/>
      </c>
      <c r="J61" s="12">
        <f>IF($B61="","",E61*D61+F61)</f>
        <v/>
      </c>
      <c r="K61" s="12">
        <f>IF($B61="","",I61-J61)</f>
        <v/>
      </c>
      <c r="L61" s="13">
        <f>IF($B61="","",IFERROR(K61/G61,0))</f>
        <v/>
      </c>
    </row>
    <row r="62">
      <c r="A62" s="9" t="n"/>
      <c r="B62" s="10" t="n"/>
      <c r="C62" s="11" t="n"/>
      <c r="D62" s="10" t="n"/>
      <c r="E62" s="11" t="n"/>
      <c r="F62" s="11" t="n"/>
      <c r="G62" s="12">
        <f>IF($B62="","",C62*D62)</f>
        <v/>
      </c>
      <c r="H62" s="12">
        <f>IF($B62="","",G62*(설정!$B$2+설정!$B$3))</f>
        <v/>
      </c>
      <c r="I62" s="12">
        <f>IF($B62="","",G62-H62)</f>
        <v/>
      </c>
      <c r="J62" s="12">
        <f>IF($B62="","",E62*D62+F62)</f>
        <v/>
      </c>
      <c r="K62" s="12">
        <f>IF($B62="","",I62-J62)</f>
        <v/>
      </c>
      <c r="L62" s="13">
        <f>IF($B62="","",IFERROR(K62/G62,0))</f>
        <v/>
      </c>
    </row>
    <row r="63">
      <c r="A63" s="9" t="n"/>
      <c r="B63" s="10" t="n"/>
      <c r="C63" s="11" t="n"/>
      <c r="D63" s="10" t="n"/>
      <c r="E63" s="11" t="n"/>
      <c r="F63" s="11" t="n"/>
      <c r="G63" s="12">
        <f>IF($B63="","",C63*D63)</f>
        <v/>
      </c>
      <c r="H63" s="12">
        <f>IF($B63="","",G63*(설정!$B$2+설정!$B$3))</f>
        <v/>
      </c>
      <c r="I63" s="12">
        <f>IF($B63="","",G63-H63)</f>
        <v/>
      </c>
      <c r="J63" s="12">
        <f>IF($B63="","",E63*D63+F63)</f>
        <v/>
      </c>
      <c r="K63" s="12">
        <f>IF($B63="","",I63-J63)</f>
        <v/>
      </c>
      <c r="L63" s="13">
        <f>IF($B63="","",IFERROR(K63/G63,0))</f>
        <v/>
      </c>
    </row>
    <row r="64">
      <c r="A64" s="9" t="n"/>
      <c r="B64" s="10" t="n"/>
      <c r="C64" s="11" t="n"/>
      <c r="D64" s="10" t="n"/>
      <c r="E64" s="11" t="n"/>
      <c r="F64" s="11" t="n"/>
      <c r="G64" s="12">
        <f>IF($B64="","",C64*D64)</f>
        <v/>
      </c>
      <c r="H64" s="12">
        <f>IF($B64="","",G64*(설정!$B$2+설정!$B$3))</f>
        <v/>
      </c>
      <c r="I64" s="12">
        <f>IF($B64="","",G64-H64)</f>
        <v/>
      </c>
      <c r="J64" s="12">
        <f>IF($B64="","",E64*D64+F64)</f>
        <v/>
      </c>
      <c r="K64" s="12">
        <f>IF($B64="","",I64-J64)</f>
        <v/>
      </c>
      <c r="L64" s="13">
        <f>IF($B64="","",IFERROR(K64/G64,0))</f>
        <v/>
      </c>
    </row>
    <row r="65">
      <c r="A65" s="9" t="n"/>
      <c r="B65" s="10" t="n"/>
      <c r="C65" s="11" t="n"/>
      <c r="D65" s="10" t="n"/>
      <c r="E65" s="11" t="n"/>
      <c r="F65" s="11" t="n"/>
      <c r="G65" s="12">
        <f>IF($B65="","",C65*D65)</f>
        <v/>
      </c>
      <c r="H65" s="12">
        <f>IF($B65="","",G65*(설정!$B$2+설정!$B$3))</f>
        <v/>
      </c>
      <c r="I65" s="12">
        <f>IF($B65="","",G65-H65)</f>
        <v/>
      </c>
      <c r="J65" s="12">
        <f>IF($B65="","",E65*D65+F65)</f>
        <v/>
      </c>
      <c r="K65" s="12">
        <f>IF($B65="","",I65-J65)</f>
        <v/>
      </c>
      <c r="L65" s="13">
        <f>IF($B65="","",IFERROR(K65/G65,0))</f>
        <v/>
      </c>
    </row>
    <row r="66">
      <c r="A66" s="9" t="n"/>
      <c r="B66" s="10" t="n"/>
      <c r="C66" s="11" t="n"/>
      <c r="D66" s="10" t="n"/>
      <c r="E66" s="11" t="n"/>
      <c r="F66" s="11" t="n"/>
      <c r="G66" s="12">
        <f>IF($B66="","",C66*D66)</f>
        <v/>
      </c>
      <c r="H66" s="12">
        <f>IF($B66="","",G66*(설정!$B$2+설정!$B$3))</f>
        <v/>
      </c>
      <c r="I66" s="12">
        <f>IF($B66="","",G66-H66)</f>
        <v/>
      </c>
      <c r="J66" s="12">
        <f>IF($B66="","",E66*D66+F66)</f>
        <v/>
      </c>
      <c r="K66" s="12">
        <f>IF($B66="","",I66-J66)</f>
        <v/>
      </c>
      <c r="L66" s="13">
        <f>IF($B66="","",IFERROR(K66/G66,0))</f>
        <v/>
      </c>
    </row>
    <row r="67">
      <c r="A67" s="9" t="n"/>
      <c r="B67" s="10" t="n"/>
      <c r="C67" s="11" t="n"/>
      <c r="D67" s="10" t="n"/>
      <c r="E67" s="11" t="n"/>
      <c r="F67" s="11" t="n"/>
      <c r="G67" s="12">
        <f>IF($B67="","",C67*D67)</f>
        <v/>
      </c>
      <c r="H67" s="12">
        <f>IF($B67="","",G67*(설정!$B$2+설정!$B$3))</f>
        <v/>
      </c>
      <c r="I67" s="12">
        <f>IF($B67="","",G67-H67)</f>
        <v/>
      </c>
      <c r="J67" s="12">
        <f>IF($B67="","",E67*D67+F67)</f>
        <v/>
      </c>
      <c r="K67" s="12">
        <f>IF($B67="","",I67-J67)</f>
        <v/>
      </c>
      <c r="L67" s="13">
        <f>IF($B67="","",IFERROR(K67/G67,0))</f>
        <v/>
      </c>
    </row>
    <row r="68">
      <c r="A68" s="9" t="n"/>
      <c r="B68" s="10" t="n"/>
      <c r="C68" s="11" t="n"/>
      <c r="D68" s="10" t="n"/>
      <c r="E68" s="11" t="n"/>
      <c r="F68" s="11" t="n"/>
      <c r="G68" s="12">
        <f>IF($B68="","",C68*D68)</f>
        <v/>
      </c>
      <c r="H68" s="12">
        <f>IF($B68="","",G68*(설정!$B$2+설정!$B$3))</f>
        <v/>
      </c>
      <c r="I68" s="12">
        <f>IF($B68="","",G68-H68)</f>
        <v/>
      </c>
      <c r="J68" s="12">
        <f>IF($B68="","",E68*D68+F68)</f>
        <v/>
      </c>
      <c r="K68" s="12">
        <f>IF($B68="","",I68-J68)</f>
        <v/>
      </c>
      <c r="L68" s="13">
        <f>IF($B68="","",IFERROR(K68/G68,0))</f>
        <v/>
      </c>
    </row>
    <row r="69">
      <c r="A69" s="9" t="n"/>
      <c r="B69" s="10" t="n"/>
      <c r="C69" s="11" t="n"/>
      <c r="D69" s="10" t="n"/>
      <c r="E69" s="11" t="n"/>
      <c r="F69" s="11" t="n"/>
      <c r="G69" s="12">
        <f>IF($B69="","",C69*D69)</f>
        <v/>
      </c>
      <c r="H69" s="12">
        <f>IF($B69="","",G69*(설정!$B$2+설정!$B$3))</f>
        <v/>
      </c>
      <c r="I69" s="12">
        <f>IF($B69="","",G69-H69)</f>
        <v/>
      </c>
      <c r="J69" s="12">
        <f>IF($B69="","",E69*D69+F69)</f>
        <v/>
      </c>
      <c r="K69" s="12">
        <f>IF($B69="","",I69-J69)</f>
        <v/>
      </c>
      <c r="L69" s="13">
        <f>IF($B69="","",IFERROR(K69/G69,0))</f>
        <v/>
      </c>
    </row>
    <row r="70">
      <c r="A70" s="9" t="n"/>
      <c r="B70" s="10" t="n"/>
      <c r="C70" s="11" t="n"/>
      <c r="D70" s="10" t="n"/>
      <c r="E70" s="11" t="n"/>
      <c r="F70" s="11" t="n"/>
      <c r="G70" s="12">
        <f>IF($B70="","",C70*D70)</f>
        <v/>
      </c>
      <c r="H70" s="12">
        <f>IF($B70="","",G70*(설정!$B$2+설정!$B$3))</f>
        <v/>
      </c>
      <c r="I70" s="12">
        <f>IF($B70="","",G70-H70)</f>
        <v/>
      </c>
      <c r="J70" s="12">
        <f>IF($B70="","",E70*D70+F70)</f>
        <v/>
      </c>
      <c r="K70" s="12">
        <f>IF($B70="","",I70-J70)</f>
        <v/>
      </c>
      <c r="L70" s="13">
        <f>IF($B70="","",IFERROR(K70/G70,0))</f>
        <v/>
      </c>
    </row>
    <row r="71">
      <c r="A71" s="9" t="n"/>
      <c r="B71" s="10" t="n"/>
      <c r="C71" s="11" t="n"/>
      <c r="D71" s="10" t="n"/>
      <c r="E71" s="11" t="n"/>
      <c r="F71" s="11" t="n"/>
      <c r="G71" s="12">
        <f>IF($B71="","",C71*D71)</f>
        <v/>
      </c>
      <c r="H71" s="12">
        <f>IF($B71="","",G71*(설정!$B$2+설정!$B$3))</f>
        <v/>
      </c>
      <c r="I71" s="12">
        <f>IF($B71="","",G71-H71)</f>
        <v/>
      </c>
      <c r="J71" s="12">
        <f>IF($B71="","",E71*D71+F71)</f>
        <v/>
      </c>
      <c r="K71" s="12">
        <f>IF($B71="","",I71-J71)</f>
        <v/>
      </c>
      <c r="L71" s="13">
        <f>IF($B71="","",IFERROR(K71/G71,0))</f>
        <v/>
      </c>
    </row>
    <row r="72">
      <c r="A72" s="9" t="n"/>
      <c r="B72" s="10" t="n"/>
      <c r="C72" s="11" t="n"/>
      <c r="D72" s="10" t="n"/>
      <c r="E72" s="11" t="n"/>
      <c r="F72" s="11" t="n"/>
      <c r="G72" s="12">
        <f>IF($B72="","",C72*D72)</f>
        <v/>
      </c>
      <c r="H72" s="12">
        <f>IF($B72="","",G72*(설정!$B$2+설정!$B$3))</f>
        <v/>
      </c>
      <c r="I72" s="12">
        <f>IF($B72="","",G72-H72)</f>
        <v/>
      </c>
      <c r="J72" s="12">
        <f>IF($B72="","",E72*D72+F72)</f>
        <v/>
      </c>
      <c r="K72" s="12">
        <f>IF($B72="","",I72-J72)</f>
        <v/>
      </c>
      <c r="L72" s="13">
        <f>IF($B72="","",IFERROR(K72/G72,0))</f>
        <v/>
      </c>
    </row>
    <row r="73">
      <c r="A73" s="9" t="n"/>
      <c r="B73" s="10" t="n"/>
      <c r="C73" s="11" t="n"/>
      <c r="D73" s="10" t="n"/>
      <c r="E73" s="11" t="n"/>
      <c r="F73" s="11" t="n"/>
      <c r="G73" s="12">
        <f>IF($B73="","",C73*D73)</f>
        <v/>
      </c>
      <c r="H73" s="12">
        <f>IF($B73="","",G73*(설정!$B$2+설정!$B$3))</f>
        <v/>
      </c>
      <c r="I73" s="12">
        <f>IF($B73="","",G73-H73)</f>
        <v/>
      </c>
      <c r="J73" s="12">
        <f>IF($B73="","",E73*D73+F73)</f>
        <v/>
      </c>
      <c r="K73" s="12">
        <f>IF($B73="","",I73-J73)</f>
        <v/>
      </c>
      <c r="L73" s="13">
        <f>IF($B73="","",IFERROR(K73/G73,0))</f>
        <v/>
      </c>
    </row>
    <row r="74">
      <c r="A74" s="9" t="n"/>
      <c r="B74" s="10" t="n"/>
      <c r="C74" s="11" t="n"/>
      <c r="D74" s="10" t="n"/>
      <c r="E74" s="11" t="n"/>
      <c r="F74" s="11" t="n"/>
      <c r="G74" s="12">
        <f>IF($B74="","",C74*D74)</f>
        <v/>
      </c>
      <c r="H74" s="12">
        <f>IF($B74="","",G74*(설정!$B$2+설정!$B$3))</f>
        <v/>
      </c>
      <c r="I74" s="12">
        <f>IF($B74="","",G74-H74)</f>
        <v/>
      </c>
      <c r="J74" s="12">
        <f>IF($B74="","",E74*D74+F74)</f>
        <v/>
      </c>
      <c r="K74" s="12">
        <f>IF($B74="","",I74-J74)</f>
        <v/>
      </c>
      <c r="L74" s="13">
        <f>IF($B74="","",IFERROR(K74/G74,0))</f>
        <v/>
      </c>
    </row>
    <row r="75">
      <c r="A75" s="9" t="n"/>
      <c r="B75" s="10" t="n"/>
      <c r="C75" s="11" t="n"/>
      <c r="D75" s="10" t="n"/>
      <c r="E75" s="11" t="n"/>
      <c r="F75" s="11" t="n"/>
      <c r="G75" s="12">
        <f>IF($B75="","",C75*D75)</f>
        <v/>
      </c>
      <c r="H75" s="12">
        <f>IF($B75="","",G75*(설정!$B$2+설정!$B$3))</f>
        <v/>
      </c>
      <c r="I75" s="12">
        <f>IF($B75="","",G75-H75)</f>
        <v/>
      </c>
      <c r="J75" s="12">
        <f>IF($B75="","",E75*D75+F75)</f>
        <v/>
      </c>
      <c r="K75" s="12">
        <f>IF($B75="","",I75-J75)</f>
        <v/>
      </c>
      <c r="L75" s="13">
        <f>IF($B75="","",IFERROR(K75/G75,0))</f>
        <v/>
      </c>
    </row>
    <row r="76">
      <c r="A76" s="9" t="n"/>
      <c r="B76" s="10" t="n"/>
      <c r="C76" s="11" t="n"/>
      <c r="D76" s="10" t="n"/>
      <c r="E76" s="11" t="n"/>
      <c r="F76" s="11" t="n"/>
      <c r="G76" s="12">
        <f>IF($B76="","",C76*D76)</f>
        <v/>
      </c>
      <c r="H76" s="12">
        <f>IF($B76="","",G76*(설정!$B$2+설정!$B$3))</f>
        <v/>
      </c>
      <c r="I76" s="12">
        <f>IF($B76="","",G76-H76)</f>
        <v/>
      </c>
      <c r="J76" s="12">
        <f>IF($B76="","",E76*D76+F76)</f>
        <v/>
      </c>
      <c r="K76" s="12">
        <f>IF($B76="","",I76-J76)</f>
        <v/>
      </c>
      <c r="L76" s="13">
        <f>IF($B76="","",IFERROR(K76/G76,0))</f>
        <v/>
      </c>
    </row>
    <row r="77">
      <c r="A77" s="9" t="n"/>
      <c r="B77" s="10" t="n"/>
      <c r="C77" s="11" t="n"/>
      <c r="D77" s="10" t="n"/>
      <c r="E77" s="11" t="n"/>
      <c r="F77" s="11" t="n"/>
      <c r="G77" s="12">
        <f>IF($B77="","",C77*D77)</f>
        <v/>
      </c>
      <c r="H77" s="12">
        <f>IF($B77="","",G77*(설정!$B$2+설정!$B$3))</f>
        <v/>
      </c>
      <c r="I77" s="12">
        <f>IF($B77="","",G77-H77)</f>
        <v/>
      </c>
      <c r="J77" s="12">
        <f>IF($B77="","",E77*D77+F77)</f>
        <v/>
      </c>
      <c r="K77" s="12">
        <f>IF($B77="","",I77-J77)</f>
        <v/>
      </c>
      <c r="L77" s="13">
        <f>IF($B77="","",IFERROR(K77/G77,0))</f>
        <v/>
      </c>
    </row>
    <row r="78">
      <c r="A78" s="9" t="n"/>
      <c r="B78" s="10" t="n"/>
      <c r="C78" s="11" t="n"/>
      <c r="D78" s="10" t="n"/>
      <c r="E78" s="11" t="n"/>
      <c r="F78" s="11" t="n"/>
      <c r="G78" s="12">
        <f>IF($B78="","",C78*D78)</f>
        <v/>
      </c>
      <c r="H78" s="12">
        <f>IF($B78="","",G78*(설정!$B$2+설정!$B$3))</f>
        <v/>
      </c>
      <c r="I78" s="12">
        <f>IF($B78="","",G78-H78)</f>
        <v/>
      </c>
      <c r="J78" s="12">
        <f>IF($B78="","",E78*D78+F78)</f>
        <v/>
      </c>
      <c r="K78" s="12">
        <f>IF($B78="","",I78-J78)</f>
        <v/>
      </c>
      <c r="L78" s="13">
        <f>IF($B78="","",IFERROR(K78/G78,0))</f>
        <v/>
      </c>
    </row>
    <row r="79">
      <c r="A79" s="9" t="n"/>
      <c r="B79" s="10" t="n"/>
      <c r="C79" s="11" t="n"/>
      <c r="D79" s="10" t="n"/>
      <c r="E79" s="11" t="n"/>
      <c r="F79" s="11" t="n"/>
      <c r="G79" s="12">
        <f>IF($B79="","",C79*D79)</f>
        <v/>
      </c>
      <c r="H79" s="12">
        <f>IF($B79="","",G79*(설정!$B$2+설정!$B$3))</f>
        <v/>
      </c>
      <c r="I79" s="12">
        <f>IF($B79="","",G79-H79)</f>
        <v/>
      </c>
      <c r="J79" s="12">
        <f>IF($B79="","",E79*D79+F79)</f>
        <v/>
      </c>
      <c r="K79" s="12">
        <f>IF($B79="","",I79-J79)</f>
        <v/>
      </c>
      <c r="L79" s="13">
        <f>IF($B79="","",IFERROR(K79/G79,0))</f>
        <v/>
      </c>
    </row>
    <row r="80">
      <c r="A80" s="9" t="n"/>
      <c r="B80" s="10" t="n"/>
      <c r="C80" s="11" t="n"/>
      <c r="D80" s="10" t="n"/>
      <c r="E80" s="11" t="n"/>
      <c r="F80" s="11" t="n"/>
      <c r="G80" s="12">
        <f>IF($B80="","",C80*D80)</f>
        <v/>
      </c>
      <c r="H80" s="12">
        <f>IF($B80="","",G80*(설정!$B$2+설정!$B$3))</f>
        <v/>
      </c>
      <c r="I80" s="12">
        <f>IF($B80="","",G80-H80)</f>
        <v/>
      </c>
      <c r="J80" s="12">
        <f>IF($B80="","",E80*D80+F80)</f>
        <v/>
      </c>
      <c r="K80" s="12">
        <f>IF($B80="","",I80-J80)</f>
        <v/>
      </c>
      <c r="L80" s="13">
        <f>IF($B80="","",IFERROR(K80/G80,0))</f>
        <v/>
      </c>
    </row>
    <row r="81">
      <c r="A81" s="9" t="n"/>
      <c r="B81" s="10" t="n"/>
      <c r="C81" s="11" t="n"/>
      <c r="D81" s="10" t="n"/>
      <c r="E81" s="11" t="n"/>
      <c r="F81" s="11" t="n"/>
      <c r="G81" s="12">
        <f>IF($B81="","",C81*D81)</f>
        <v/>
      </c>
      <c r="H81" s="12">
        <f>IF($B81="","",G81*(설정!$B$2+설정!$B$3))</f>
        <v/>
      </c>
      <c r="I81" s="12">
        <f>IF($B81="","",G81-H81)</f>
        <v/>
      </c>
      <c r="J81" s="12">
        <f>IF($B81="","",E81*D81+F81)</f>
        <v/>
      </c>
      <c r="K81" s="12">
        <f>IF($B81="","",I81-J81)</f>
        <v/>
      </c>
      <c r="L81" s="13">
        <f>IF($B81="","",IFERROR(K81/G81,0))</f>
        <v/>
      </c>
    </row>
    <row r="82">
      <c r="A82" s="9" t="n"/>
      <c r="B82" s="10" t="n"/>
      <c r="C82" s="11" t="n"/>
      <c r="D82" s="10" t="n"/>
      <c r="E82" s="11" t="n"/>
      <c r="F82" s="11" t="n"/>
      <c r="G82" s="12">
        <f>IF($B82="","",C82*D82)</f>
        <v/>
      </c>
      <c r="H82" s="12">
        <f>IF($B82="","",G82*(설정!$B$2+설정!$B$3))</f>
        <v/>
      </c>
      <c r="I82" s="12">
        <f>IF($B82="","",G82-H82)</f>
        <v/>
      </c>
      <c r="J82" s="12">
        <f>IF($B82="","",E82*D82+F82)</f>
        <v/>
      </c>
      <c r="K82" s="12">
        <f>IF($B82="","",I82-J82)</f>
        <v/>
      </c>
      <c r="L82" s="13">
        <f>IF($B82="","",IFERROR(K82/G82,0))</f>
        <v/>
      </c>
    </row>
    <row r="83">
      <c r="A83" s="9" t="n"/>
      <c r="B83" s="10" t="n"/>
      <c r="C83" s="11" t="n"/>
      <c r="D83" s="10" t="n"/>
      <c r="E83" s="11" t="n"/>
      <c r="F83" s="11" t="n"/>
      <c r="G83" s="12">
        <f>IF($B83="","",C83*D83)</f>
        <v/>
      </c>
      <c r="H83" s="12">
        <f>IF($B83="","",G83*(설정!$B$2+설정!$B$3))</f>
        <v/>
      </c>
      <c r="I83" s="12">
        <f>IF($B83="","",G83-H83)</f>
        <v/>
      </c>
      <c r="J83" s="12">
        <f>IF($B83="","",E83*D83+F83)</f>
        <v/>
      </c>
      <c r="K83" s="12">
        <f>IF($B83="","",I83-J83)</f>
        <v/>
      </c>
      <c r="L83" s="13">
        <f>IF($B83="","",IFERROR(K83/G83,0))</f>
        <v/>
      </c>
    </row>
    <row r="84">
      <c r="A84" s="9" t="n"/>
      <c r="B84" s="10" t="n"/>
      <c r="C84" s="11" t="n"/>
      <c r="D84" s="10" t="n"/>
      <c r="E84" s="11" t="n"/>
      <c r="F84" s="11" t="n"/>
      <c r="G84" s="12">
        <f>IF($B84="","",C84*D84)</f>
        <v/>
      </c>
      <c r="H84" s="12">
        <f>IF($B84="","",G84*(설정!$B$2+설정!$B$3))</f>
        <v/>
      </c>
      <c r="I84" s="12">
        <f>IF($B84="","",G84-H84)</f>
        <v/>
      </c>
      <c r="J84" s="12">
        <f>IF($B84="","",E84*D84+F84)</f>
        <v/>
      </c>
      <c r="K84" s="12">
        <f>IF($B84="","",I84-J84)</f>
        <v/>
      </c>
      <c r="L84" s="13">
        <f>IF($B84="","",IFERROR(K84/G84,0))</f>
        <v/>
      </c>
    </row>
    <row r="85">
      <c r="A85" s="9" t="n"/>
      <c r="B85" s="10" t="n"/>
      <c r="C85" s="11" t="n"/>
      <c r="D85" s="10" t="n"/>
      <c r="E85" s="11" t="n"/>
      <c r="F85" s="11" t="n"/>
      <c r="G85" s="12">
        <f>IF($B85="","",C85*D85)</f>
        <v/>
      </c>
      <c r="H85" s="12">
        <f>IF($B85="","",G85*(설정!$B$2+설정!$B$3))</f>
        <v/>
      </c>
      <c r="I85" s="12">
        <f>IF($B85="","",G85-H85)</f>
        <v/>
      </c>
      <c r="J85" s="12">
        <f>IF($B85="","",E85*D85+F85)</f>
        <v/>
      </c>
      <c r="K85" s="12">
        <f>IF($B85="","",I85-J85)</f>
        <v/>
      </c>
      <c r="L85" s="13">
        <f>IF($B85="","",IFERROR(K85/G85,0))</f>
        <v/>
      </c>
    </row>
    <row r="86">
      <c r="A86" s="9" t="n"/>
      <c r="B86" s="10" t="n"/>
      <c r="C86" s="11" t="n"/>
      <c r="D86" s="10" t="n"/>
      <c r="E86" s="11" t="n"/>
      <c r="F86" s="11" t="n"/>
      <c r="G86" s="12">
        <f>IF($B86="","",C86*D86)</f>
        <v/>
      </c>
      <c r="H86" s="12">
        <f>IF($B86="","",G86*(설정!$B$2+설정!$B$3))</f>
        <v/>
      </c>
      <c r="I86" s="12">
        <f>IF($B86="","",G86-H86)</f>
        <v/>
      </c>
      <c r="J86" s="12">
        <f>IF($B86="","",E86*D86+F86)</f>
        <v/>
      </c>
      <c r="K86" s="12">
        <f>IF($B86="","",I86-J86)</f>
        <v/>
      </c>
      <c r="L86" s="13">
        <f>IF($B86="","",IFERROR(K86/G86,0))</f>
        <v/>
      </c>
    </row>
    <row r="87">
      <c r="A87" s="9" t="n"/>
      <c r="B87" s="10" t="n"/>
      <c r="C87" s="11" t="n"/>
      <c r="D87" s="10" t="n"/>
      <c r="E87" s="11" t="n"/>
      <c r="F87" s="11" t="n"/>
      <c r="G87" s="12">
        <f>IF($B87="","",C87*D87)</f>
        <v/>
      </c>
      <c r="H87" s="12">
        <f>IF($B87="","",G87*(설정!$B$2+설정!$B$3))</f>
        <v/>
      </c>
      <c r="I87" s="12">
        <f>IF($B87="","",G87-H87)</f>
        <v/>
      </c>
      <c r="J87" s="12">
        <f>IF($B87="","",E87*D87+F87)</f>
        <v/>
      </c>
      <c r="K87" s="12">
        <f>IF($B87="","",I87-J87)</f>
        <v/>
      </c>
      <c r="L87" s="13">
        <f>IF($B87="","",IFERROR(K87/G87,0))</f>
        <v/>
      </c>
    </row>
    <row r="88">
      <c r="A88" s="9" t="n"/>
      <c r="B88" s="10" t="n"/>
      <c r="C88" s="11" t="n"/>
      <c r="D88" s="10" t="n"/>
      <c r="E88" s="11" t="n"/>
      <c r="F88" s="11" t="n"/>
      <c r="G88" s="12">
        <f>IF($B88="","",C88*D88)</f>
        <v/>
      </c>
      <c r="H88" s="12">
        <f>IF($B88="","",G88*(설정!$B$2+설정!$B$3))</f>
        <v/>
      </c>
      <c r="I88" s="12">
        <f>IF($B88="","",G88-H88)</f>
        <v/>
      </c>
      <c r="J88" s="12">
        <f>IF($B88="","",E88*D88+F88)</f>
        <v/>
      </c>
      <c r="K88" s="12">
        <f>IF($B88="","",I88-J88)</f>
        <v/>
      </c>
      <c r="L88" s="13">
        <f>IF($B88="","",IFERROR(K88/G88,0))</f>
        <v/>
      </c>
    </row>
    <row r="89">
      <c r="A89" s="9" t="n"/>
      <c r="B89" s="10" t="n"/>
      <c r="C89" s="11" t="n"/>
      <c r="D89" s="10" t="n"/>
      <c r="E89" s="11" t="n"/>
      <c r="F89" s="11" t="n"/>
      <c r="G89" s="12">
        <f>IF($B89="","",C89*D89)</f>
        <v/>
      </c>
      <c r="H89" s="12">
        <f>IF($B89="","",G89*(설정!$B$2+설정!$B$3))</f>
        <v/>
      </c>
      <c r="I89" s="12">
        <f>IF($B89="","",G89-H89)</f>
        <v/>
      </c>
      <c r="J89" s="12">
        <f>IF($B89="","",E89*D89+F89)</f>
        <v/>
      </c>
      <c r="K89" s="12">
        <f>IF($B89="","",I89-J89)</f>
        <v/>
      </c>
      <c r="L89" s="13">
        <f>IF($B89="","",IFERROR(K89/G89,0))</f>
        <v/>
      </c>
    </row>
    <row r="90">
      <c r="A90" s="9" t="n"/>
      <c r="B90" s="10" t="n"/>
      <c r="C90" s="11" t="n"/>
      <c r="D90" s="10" t="n"/>
      <c r="E90" s="11" t="n"/>
      <c r="F90" s="11" t="n"/>
      <c r="G90" s="12">
        <f>IF($B90="","",C90*D90)</f>
        <v/>
      </c>
      <c r="H90" s="12">
        <f>IF($B90="","",G90*(설정!$B$2+설정!$B$3))</f>
        <v/>
      </c>
      <c r="I90" s="12">
        <f>IF($B90="","",G90-H90)</f>
        <v/>
      </c>
      <c r="J90" s="12">
        <f>IF($B90="","",E90*D90+F90)</f>
        <v/>
      </c>
      <c r="K90" s="12">
        <f>IF($B90="","",I90-J90)</f>
        <v/>
      </c>
      <c r="L90" s="13">
        <f>IF($B90="","",IFERROR(K90/G90,0))</f>
        <v/>
      </c>
    </row>
    <row r="91">
      <c r="A91" s="9" t="n"/>
      <c r="B91" s="10" t="n"/>
      <c r="C91" s="11" t="n"/>
      <c r="D91" s="10" t="n"/>
      <c r="E91" s="11" t="n"/>
      <c r="F91" s="11" t="n"/>
      <c r="G91" s="12">
        <f>IF($B91="","",C91*D91)</f>
        <v/>
      </c>
      <c r="H91" s="12">
        <f>IF($B91="","",G91*(설정!$B$2+설정!$B$3))</f>
        <v/>
      </c>
      <c r="I91" s="12">
        <f>IF($B91="","",G91-H91)</f>
        <v/>
      </c>
      <c r="J91" s="12">
        <f>IF($B91="","",E91*D91+F91)</f>
        <v/>
      </c>
      <c r="K91" s="12">
        <f>IF($B91="","",I91-J91)</f>
        <v/>
      </c>
      <c r="L91" s="13">
        <f>IF($B91="","",IFERROR(K91/G91,0))</f>
        <v/>
      </c>
    </row>
    <row r="92">
      <c r="A92" s="9" t="n"/>
      <c r="B92" s="10" t="n"/>
      <c r="C92" s="11" t="n"/>
      <c r="D92" s="10" t="n"/>
      <c r="E92" s="11" t="n"/>
      <c r="F92" s="11" t="n"/>
      <c r="G92" s="12">
        <f>IF($B92="","",C92*D92)</f>
        <v/>
      </c>
      <c r="H92" s="12">
        <f>IF($B92="","",G92*(설정!$B$2+설정!$B$3))</f>
        <v/>
      </c>
      <c r="I92" s="12">
        <f>IF($B92="","",G92-H92)</f>
        <v/>
      </c>
      <c r="J92" s="12">
        <f>IF($B92="","",E92*D92+F92)</f>
        <v/>
      </c>
      <c r="K92" s="12">
        <f>IF($B92="","",I92-J92)</f>
        <v/>
      </c>
      <c r="L92" s="13">
        <f>IF($B92="","",IFERROR(K92/G92,0))</f>
        <v/>
      </c>
    </row>
    <row r="93">
      <c r="A93" s="9" t="n"/>
      <c r="B93" s="10" t="n"/>
      <c r="C93" s="11" t="n"/>
      <c r="D93" s="10" t="n"/>
      <c r="E93" s="11" t="n"/>
      <c r="F93" s="11" t="n"/>
      <c r="G93" s="12">
        <f>IF($B93="","",C93*D93)</f>
        <v/>
      </c>
      <c r="H93" s="12">
        <f>IF($B93="","",G93*(설정!$B$2+설정!$B$3))</f>
        <v/>
      </c>
      <c r="I93" s="12">
        <f>IF($B93="","",G93-H93)</f>
        <v/>
      </c>
      <c r="J93" s="12">
        <f>IF($B93="","",E93*D93+F93)</f>
        <v/>
      </c>
      <c r="K93" s="12">
        <f>IF($B93="","",I93-J93)</f>
        <v/>
      </c>
      <c r="L93" s="13">
        <f>IF($B93="","",IFERROR(K93/G93,0))</f>
        <v/>
      </c>
    </row>
    <row r="94">
      <c r="A94" s="9" t="n"/>
      <c r="B94" s="10" t="n"/>
      <c r="C94" s="11" t="n"/>
      <c r="D94" s="10" t="n"/>
      <c r="E94" s="11" t="n"/>
      <c r="F94" s="11" t="n"/>
      <c r="G94" s="12">
        <f>IF($B94="","",C94*D94)</f>
        <v/>
      </c>
      <c r="H94" s="12">
        <f>IF($B94="","",G94*(설정!$B$2+설정!$B$3))</f>
        <v/>
      </c>
      <c r="I94" s="12">
        <f>IF($B94="","",G94-H94)</f>
        <v/>
      </c>
      <c r="J94" s="12">
        <f>IF($B94="","",E94*D94+F94)</f>
        <v/>
      </c>
      <c r="K94" s="12">
        <f>IF($B94="","",I94-J94)</f>
        <v/>
      </c>
      <c r="L94" s="13">
        <f>IF($B94="","",IFERROR(K94/G94,0))</f>
        <v/>
      </c>
    </row>
    <row r="95">
      <c r="A95" s="9" t="n"/>
      <c r="B95" s="10" t="n"/>
      <c r="C95" s="11" t="n"/>
      <c r="D95" s="10" t="n"/>
      <c r="E95" s="11" t="n"/>
      <c r="F95" s="11" t="n"/>
      <c r="G95" s="12">
        <f>IF($B95="","",C95*D95)</f>
        <v/>
      </c>
      <c r="H95" s="12">
        <f>IF($B95="","",G95*(설정!$B$2+설정!$B$3))</f>
        <v/>
      </c>
      <c r="I95" s="12">
        <f>IF($B95="","",G95-H95)</f>
        <v/>
      </c>
      <c r="J95" s="12">
        <f>IF($B95="","",E95*D95+F95)</f>
        <v/>
      </c>
      <c r="K95" s="12">
        <f>IF($B95="","",I95-J95)</f>
        <v/>
      </c>
      <c r="L95" s="13">
        <f>IF($B95="","",IFERROR(K95/G95,0))</f>
        <v/>
      </c>
    </row>
    <row r="96">
      <c r="A96" s="9" t="n"/>
      <c r="B96" s="10" t="n"/>
      <c r="C96" s="11" t="n"/>
      <c r="D96" s="10" t="n"/>
      <c r="E96" s="11" t="n"/>
      <c r="F96" s="11" t="n"/>
      <c r="G96" s="12">
        <f>IF($B96="","",C96*D96)</f>
        <v/>
      </c>
      <c r="H96" s="12">
        <f>IF($B96="","",G96*(설정!$B$2+설정!$B$3))</f>
        <v/>
      </c>
      <c r="I96" s="12">
        <f>IF($B96="","",G96-H96)</f>
        <v/>
      </c>
      <c r="J96" s="12">
        <f>IF($B96="","",E96*D96+F96)</f>
        <v/>
      </c>
      <c r="K96" s="12">
        <f>IF($B96="","",I96-J96)</f>
        <v/>
      </c>
      <c r="L96" s="13">
        <f>IF($B96="","",IFERROR(K96/G96,0))</f>
        <v/>
      </c>
    </row>
    <row r="97">
      <c r="A97" s="9" t="n"/>
      <c r="B97" s="10" t="n"/>
      <c r="C97" s="11" t="n"/>
      <c r="D97" s="10" t="n"/>
      <c r="E97" s="11" t="n"/>
      <c r="F97" s="11" t="n"/>
      <c r="G97" s="12">
        <f>IF($B97="","",C97*D97)</f>
        <v/>
      </c>
      <c r="H97" s="12">
        <f>IF($B97="","",G97*(설정!$B$2+설정!$B$3))</f>
        <v/>
      </c>
      <c r="I97" s="12">
        <f>IF($B97="","",G97-H97)</f>
        <v/>
      </c>
      <c r="J97" s="12">
        <f>IF($B97="","",E97*D97+F97)</f>
        <v/>
      </c>
      <c r="K97" s="12">
        <f>IF($B97="","",I97-J97)</f>
        <v/>
      </c>
      <c r="L97" s="13">
        <f>IF($B97="","",IFERROR(K97/G97,0))</f>
        <v/>
      </c>
    </row>
    <row r="98">
      <c r="A98" s="9" t="n"/>
      <c r="B98" s="10" t="n"/>
      <c r="C98" s="11" t="n"/>
      <c r="D98" s="10" t="n"/>
      <c r="E98" s="11" t="n"/>
      <c r="F98" s="11" t="n"/>
      <c r="G98" s="12">
        <f>IF($B98="","",C98*D98)</f>
        <v/>
      </c>
      <c r="H98" s="12">
        <f>IF($B98="","",G98*(설정!$B$2+설정!$B$3))</f>
        <v/>
      </c>
      <c r="I98" s="12">
        <f>IF($B98="","",G98-H98)</f>
        <v/>
      </c>
      <c r="J98" s="12">
        <f>IF($B98="","",E98*D98+F98)</f>
        <v/>
      </c>
      <c r="K98" s="12">
        <f>IF($B98="","",I98-J98)</f>
        <v/>
      </c>
      <c r="L98" s="13">
        <f>IF($B98="","",IFERROR(K98/G98,0))</f>
        <v/>
      </c>
    </row>
    <row r="99">
      <c r="A99" s="9" t="n"/>
      <c r="B99" s="10" t="n"/>
      <c r="C99" s="11" t="n"/>
      <c r="D99" s="10" t="n"/>
      <c r="E99" s="11" t="n"/>
      <c r="F99" s="11" t="n"/>
      <c r="G99" s="12">
        <f>IF($B99="","",C99*D99)</f>
        <v/>
      </c>
      <c r="H99" s="12">
        <f>IF($B99="","",G99*(설정!$B$2+설정!$B$3))</f>
        <v/>
      </c>
      <c r="I99" s="12">
        <f>IF($B99="","",G99-H99)</f>
        <v/>
      </c>
      <c r="J99" s="12">
        <f>IF($B99="","",E99*D99+F99)</f>
        <v/>
      </c>
      <c r="K99" s="12">
        <f>IF($B99="","",I99-J99)</f>
        <v/>
      </c>
      <c r="L99" s="13">
        <f>IF($B99="","",IFERROR(K99/G99,0))</f>
        <v/>
      </c>
    </row>
    <row r="100">
      <c r="A100" s="9" t="n"/>
      <c r="B100" s="10" t="n"/>
      <c r="C100" s="11" t="n"/>
      <c r="D100" s="10" t="n"/>
      <c r="E100" s="11" t="n"/>
      <c r="F100" s="11" t="n"/>
      <c r="G100" s="12">
        <f>IF($B100="","",C100*D100)</f>
        <v/>
      </c>
      <c r="H100" s="12">
        <f>IF($B100="","",G100*(설정!$B$2+설정!$B$3))</f>
        <v/>
      </c>
      <c r="I100" s="12">
        <f>IF($B100="","",G100-H100)</f>
        <v/>
      </c>
      <c r="J100" s="12">
        <f>IF($B100="","",E100*D100+F100)</f>
        <v/>
      </c>
      <c r="K100" s="12">
        <f>IF($B100="","",I100-J100)</f>
        <v/>
      </c>
      <c r="L100" s="13">
        <f>IF($B100="","",IFERROR(K100/G100,0))</f>
        <v/>
      </c>
    </row>
    <row r="101">
      <c r="A101" s="9" t="n"/>
      <c r="B101" s="10" t="n"/>
      <c r="C101" s="11" t="n"/>
      <c r="D101" s="10" t="n"/>
      <c r="E101" s="11" t="n"/>
      <c r="F101" s="11" t="n"/>
      <c r="G101" s="12">
        <f>IF($B101="","",C101*D101)</f>
        <v/>
      </c>
      <c r="H101" s="12">
        <f>IF($B101="","",G101*(설정!$B$2+설정!$B$3))</f>
        <v/>
      </c>
      <c r="I101" s="12">
        <f>IF($B101="","",G101-H101)</f>
        <v/>
      </c>
      <c r="J101" s="12">
        <f>IF($B101="","",E101*D101+F101)</f>
        <v/>
      </c>
      <c r="K101" s="12">
        <f>IF($B101="","",I101-J101)</f>
        <v/>
      </c>
      <c r="L101" s="13">
        <f>IF($B101="","",IFERROR(K101/G101,0))</f>
        <v/>
      </c>
    </row>
    <row r="102">
      <c r="A102" s="9" t="n"/>
      <c r="B102" s="10" t="n"/>
      <c r="C102" s="11" t="n"/>
      <c r="D102" s="10" t="n"/>
      <c r="E102" s="11" t="n"/>
      <c r="F102" s="11" t="n"/>
      <c r="G102" s="12">
        <f>IF($B102="","",C102*D102)</f>
        <v/>
      </c>
      <c r="H102" s="12">
        <f>IF($B102="","",G102*(설정!$B$2+설정!$B$3))</f>
        <v/>
      </c>
      <c r="I102" s="12">
        <f>IF($B102="","",G102-H102)</f>
        <v/>
      </c>
      <c r="J102" s="12">
        <f>IF($B102="","",E102*D102+F102)</f>
        <v/>
      </c>
      <c r="K102" s="12">
        <f>IF($B102="","",I102-J102)</f>
        <v/>
      </c>
      <c r="L102" s="13">
        <f>IF($B102="","",IFERROR(K102/G102,0))</f>
        <v/>
      </c>
    </row>
    <row r="103">
      <c r="A103" s="9" t="n"/>
      <c r="B103" s="10" t="n"/>
      <c r="C103" s="11" t="n"/>
      <c r="D103" s="10" t="n"/>
      <c r="E103" s="11" t="n"/>
      <c r="F103" s="11" t="n"/>
      <c r="G103" s="12">
        <f>IF($B103="","",C103*D103)</f>
        <v/>
      </c>
      <c r="H103" s="12">
        <f>IF($B103="","",G103*(설정!$B$2+설정!$B$3))</f>
        <v/>
      </c>
      <c r="I103" s="12">
        <f>IF($B103="","",G103-H103)</f>
        <v/>
      </c>
      <c r="J103" s="12">
        <f>IF($B103="","",E103*D103+F103)</f>
        <v/>
      </c>
      <c r="K103" s="12">
        <f>IF($B103="","",I103-J103)</f>
        <v/>
      </c>
      <c r="L103" s="13">
        <f>IF($B103="","",IFERROR(K103/G103,0))</f>
        <v/>
      </c>
    </row>
    <row r="104">
      <c r="A104" s="9" t="n"/>
      <c r="B104" s="10" t="n"/>
      <c r="C104" s="11" t="n"/>
      <c r="D104" s="10" t="n"/>
      <c r="E104" s="11" t="n"/>
      <c r="F104" s="11" t="n"/>
      <c r="G104" s="12">
        <f>IF($B104="","",C104*D104)</f>
        <v/>
      </c>
      <c r="H104" s="12">
        <f>IF($B104="","",G104*(설정!$B$2+설정!$B$3))</f>
        <v/>
      </c>
      <c r="I104" s="12">
        <f>IF($B104="","",G104-H104)</f>
        <v/>
      </c>
      <c r="J104" s="12">
        <f>IF($B104="","",E104*D104+F104)</f>
        <v/>
      </c>
      <c r="K104" s="12">
        <f>IF($B104="","",I104-J104)</f>
        <v/>
      </c>
      <c r="L104" s="13">
        <f>IF($B104="","",IFERROR(K104/G104,0))</f>
        <v/>
      </c>
    </row>
    <row r="105">
      <c r="A105" s="9" t="n"/>
      <c r="B105" s="10" t="n"/>
      <c r="C105" s="11" t="n"/>
      <c r="D105" s="10" t="n"/>
      <c r="E105" s="11" t="n"/>
      <c r="F105" s="11" t="n"/>
      <c r="G105" s="12">
        <f>IF($B105="","",C105*D105)</f>
        <v/>
      </c>
      <c r="H105" s="12">
        <f>IF($B105="","",G105*(설정!$B$2+설정!$B$3))</f>
        <v/>
      </c>
      <c r="I105" s="12">
        <f>IF($B105="","",G105-H105)</f>
        <v/>
      </c>
      <c r="J105" s="12">
        <f>IF($B105="","",E105*D105+F105)</f>
        <v/>
      </c>
      <c r="K105" s="12">
        <f>IF($B105="","",I105-J105)</f>
        <v/>
      </c>
      <c r="L105" s="13">
        <f>IF($B105="","",IFERROR(K105/G105,0))</f>
        <v/>
      </c>
    </row>
    <row r="106">
      <c r="A106" s="9" t="n"/>
      <c r="B106" s="10" t="n"/>
      <c r="C106" s="11" t="n"/>
      <c r="D106" s="10" t="n"/>
      <c r="E106" s="11" t="n"/>
      <c r="F106" s="11" t="n"/>
      <c r="G106" s="12">
        <f>IF($B106="","",C106*D106)</f>
        <v/>
      </c>
      <c r="H106" s="12">
        <f>IF($B106="","",G106*(설정!$B$2+설정!$B$3))</f>
        <v/>
      </c>
      <c r="I106" s="12">
        <f>IF($B106="","",G106-H106)</f>
        <v/>
      </c>
      <c r="J106" s="12">
        <f>IF($B106="","",E106*D106+F106)</f>
        <v/>
      </c>
      <c r="K106" s="12">
        <f>IF($B106="","",I106-J106)</f>
        <v/>
      </c>
      <c r="L106" s="13">
        <f>IF($B106="","",IFERROR(K106/G106,0))</f>
        <v/>
      </c>
    </row>
    <row r="107">
      <c r="A107" s="9" t="n"/>
      <c r="B107" s="10" t="n"/>
      <c r="C107" s="11" t="n"/>
      <c r="D107" s="10" t="n"/>
      <c r="E107" s="11" t="n"/>
      <c r="F107" s="11" t="n"/>
      <c r="G107" s="12">
        <f>IF($B107="","",C107*D107)</f>
        <v/>
      </c>
      <c r="H107" s="12">
        <f>IF($B107="","",G107*(설정!$B$2+설정!$B$3))</f>
        <v/>
      </c>
      <c r="I107" s="12">
        <f>IF($B107="","",G107-H107)</f>
        <v/>
      </c>
      <c r="J107" s="12">
        <f>IF($B107="","",E107*D107+F107)</f>
        <v/>
      </c>
      <c r="K107" s="12">
        <f>IF($B107="","",I107-J107)</f>
        <v/>
      </c>
      <c r="L107" s="13">
        <f>IF($B107="","",IFERROR(K107/G107,0))</f>
        <v/>
      </c>
    </row>
    <row r="108">
      <c r="A108" s="9" t="n"/>
      <c r="B108" s="10" t="n"/>
      <c r="C108" s="11" t="n"/>
      <c r="D108" s="10" t="n"/>
      <c r="E108" s="11" t="n"/>
      <c r="F108" s="11" t="n"/>
      <c r="G108" s="12">
        <f>IF($B108="","",C108*D108)</f>
        <v/>
      </c>
      <c r="H108" s="12">
        <f>IF($B108="","",G108*(설정!$B$2+설정!$B$3))</f>
        <v/>
      </c>
      <c r="I108" s="12">
        <f>IF($B108="","",G108-H108)</f>
        <v/>
      </c>
      <c r="J108" s="12">
        <f>IF($B108="","",E108*D108+F108)</f>
        <v/>
      </c>
      <c r="K108" s="12">
        <f>IF($B108="","",I108-J108)</f>
        <v/>
      </c>
      <c r="L108" s="13">
        <f>IF($B108="","",IFERROR(K108/G108,0))</f>
        <v/>
      </c>
    </row>
    <row r="109">
      <c r="A109" s="9" t="n"/>
      <c r="B109" s="10" t="n"/>
      <c r="C109" s="11" t="n"/>
      <c r="D109" s="10" t="n"/>
      <c r="E109" s="11" t="n"/>
      <c r="F109" s="11" t="n"/>
      <c r="G109" s="12">
        <f>IF($B109="","",C109*D109)</f>
        <v/>
      </c>
      <c r="H109" s="12">
        <f>IF($B109="","",G109*(설정!$B$2+설정!$B$3))</f>
        <v/>
      </c>
      <c r="I109" s="12">
        <f>IF($B109="","",G109-H109)</f>
        <v/>
      </c>
      <c r="J109" s="12">
        <f>IF($B109="","",E109*D109+F109)</f>
        <v/>
      </c>
      <c r="K109" s="12">
        <f>IF($B109="","",I109-J109)</f>
        <v/>
      </c>
      <c r="L109" s="13">
        <f>IF($B109="","",IFERROR(K109/G109,0))</f>
        <v/>
      </c>
    </row>
    <row r="110">
      <c r="A110" s="9" t="n"/>
      <c r="B110" s="10" t="n"/>
      <c r="C110" s="11" t="n"/>
      <c r="D110" s="10" t="n"/>
      <c r="E110" s="11" t="n"/>
      <c r="F110" s="11" t="n"/>
      <c r="G110" s="12">
        <f>IF($B110="","",C110*D110)</f>
        <v/>
      </c>
      <c r="H110" s="12">
        <f>IF($B110="","",G110*(설정!$B$2+설정!$B$3))</f>
        <v/>
      </c>
      <c r="I110" s="12">
        <f>IF($B110="","",G110-H110)</f>
        <v/>
      </c>
      <c r="J110" s="12">
        <f>IF($B110="","",E110*D110+F110)</f>
        <v/>
      </c>
      <c r="K110" s="12">
        <f>IF($B110="","",I110-J110)</f>
        <v/>
      </c>
      <c r="L110" s="13">
        <f>IF($B110="","",IFERROR(K110/G110,0))</f>
        <v/>
      </c>
    </row>
    <row r="111">
      <c r="A111" s="9" t="n"/>
      <c r="B111" s="10" t="n"/>
      <c r="C111" s="11" t="n"/>
      <c r="D111" s="10" t="n"/>
      <c r="E111" s="11" t="n"/>
      <c r="F111" s="11" t="n"/>
      <c r="G111" s="12">
        <f>IF($B111="","",C111*D111)</f>
        <v/>
      </c>
      <c r="H111" s="12">
        <f>IF($B111="","",G111*(설정!$B$2+설정!$B$3))</f>
        <v/>
      </c>
      <c r="I111" s="12">
        <f>IF($B111="","",G111-H111)</f>
        <v/>
      </c>
      <c r="J111" s="12">
        <f>IF($B111="","",E111*D111+F111)</f>
        <v/>
      </c>
      <c r="K111" s="12">
        <f>IF($B111="","",I111-J111)</f>
        <v/>
      </c>
      <c r="L111" s="13">
        <f>IF($B111="","",IFERROR(K111/G111,0))</f>
        <v/>
      </c>
    </row>
    <row r="112">
      <c r="A112" s="9" t="n"/>
      <c r="B112" s="10" t="n"/>
      <c r="C112" s="11" t="n"/>
      <c r="D112" s="10" t="n"/>
      <c r="E112" s="11" t="n"/>
      <c r="F112" s="11" t="n"/>
      <c r="G112" s="12">
        <f>IF($B112="","",C112*D112)</f>
        <v/>
      </c>
      <c r="H112" s="12">
        <f>IF($B112="","",G112*(설정!$B$2+설정!$B$3))</f>
        <v/>
      </c>
      <c r="I112" s="12">
        <f>IF($B112="","",G112-H112)</f>
        <v/>
      </c>
      <c r="J112" s="12">
        <f>IF($B112="","",E112*D112+F112)</f>
        <v/>
      </c>
      <c r="K112" s="12">
        <f>IF($B112="","",I112-J112)</f>
        <v/>
      </c>
      <c r="L112" s="13">
        <f>IF($B112="","",IFERROR(K112/G112,0))</f>
        <v/>
      </c>
    </row>
    <row r="113">
      <c r="A113" s="9" t="n"/>
      <c r="B113" s="10" t="n"/>
      <c r="C113" s="11" t="n"/>
      <c r="D113" s="10" t="n"/>
      <c r="E113" s="11" t="n"/>
      <c r="F113" s="11" t="n"/>
      <c r="G113" s="12">
        <f>IF($B113="","",C113*D113)</f>
        <v/>
      </c>
      <c r="H113" s="12">
        <f>IF($B113="","",G113*(설정!$B$2+설정!$B$3))</f>
        <v/>
      </c>
      <c r="I113" s="12">
        <f>IF($B113="","",G113-H113)</f>
        <v/>
      </c>
      <c r="J113" s="12">
        <f>IF($B113="","",E113*D113+F113)</f>
        <v/>
      </c>
      <c r="K113" s="12">
        <f>IF($B113="","",I113-J113)</f>
        <v/>
      </c>
      <c r="L113" s="13">
        <f>IF($B113="","",IFERROR(K113/G113,0))</f>
        <v/>
      </c>
    </row>
    <row r="114">
      <c r="A114" s="9" t="n"/>
      <c r="B114" s="10" t="n"/>
      <c r="C114" s="11" t="n"/>
      <c r="D114" s="10" t="n"/>
      <c r="E114" s="11" t="n"/>
      <c r="F114" s="11" t="n"/>
      <c r="G114" s="12">
        <f>IF($B114="","",C114*D114)</f>
        <v/>
      </c>
      <c r="H114" s="12">
        <f>IF($B114="","",G114*(설정!$B$2+설정!$B$3))</f>
        <v/>
      </c>
      <c r="I114" s="12">
        <f>IF($B114="","",G114-H114)</f>
        <v/>
      </c>
      <c r="J114" s="12">
        <f>IF($B114="","",E114*D114+F114)</f>
        <v/>
      </c>
      <c r="K114" s="12">
        <f>IF($B114="","",I114-J114)</f>
        <v/>
      </c>
      <c r="L114" s="13">
        <f>IF($B114="","",IFERROR(K114/G114,0))</f>
        <v/>
      </c>
    </row>
    <row r="115">
      <c r="A115" s="9" t="n"/>
      <c r="B115" s="10" t="n"/>
      <c r="C115" s="11" t="n"/>
      <c r="D115" s="10" t="n"/>
      <c r="E115" s="11" t="n"/>
      <c r="F115" s="11" t="n"/>
      <c r="G115" s="12">
        <f>IF($B115="","",C115*D115)</f>
        <v/>
      </c>
      <c r="H115" s="12">
        <f>IF($B115="","",G115*(설정!$B$2+설정!$B$3))</f>
        <v/>
      </c>
      <c r="I115" s="12">
        <f>IF($B115="","",G115-H115)</f>
        <v/>
      </c>
      <c r="J115" s="12">
        <f>IF($B115="","",E115*D115+F115)</f>
        <v/>
      </c>
      <c r="K115" s="12">
        <f>IF($B115="","",I115-J115)</f>
        <v/>
      </c>
      <c r="L115" s="13">
        <f>IF($B115="","",IFERROR(K115/G115,0))</f>
        <v/>
      </c>
    </row>
    <row r="116">
      <c r="A116" s="9" t="n"/>
      <c r="B116" s="10" t="n"/>
      <c r="C116" s="11" t="n"/>
      <c r="D116" s="10" t="n"/>
      <c r="E116" s="11" t="n"/>
      <c r="F116" s="11" t="n"/>
      <c r="G116" s="12">
        <f>IF($B116="","",C116*D116)</f>
        <v/>
      </c>
      <c r="H116" s="12">
        <f>IF($B116="","",G116*(설정!$B$2+설정!$B$3))</f>
        <v/>
      </c>
      <c r="I116" s="12">
        <f>IF($B116="","",G116-H116)</f>
        <v/>
      </c>
      <c r="J116" s="12">
        <f>IF($B116="","",E116*D116+F116)</f>
        <v/>
      </c>
      <c r="K116" s="12">
        <f>IF($B116="","",I116-J116)</f>
        <v/>
      </c>
      <c r="L116" s="13">
        <f>IF($B116="","",IFERROR(K116/G116,0))</f>
        <v/>
      </c>
    </row>
    <row r="117">
      <c r="A117" s="9" t="n"/>
      <c r="B117" s="10" t="n"/>
      <c r="C117" s="11" t="n"/>
      <c r="D117" s="10" t="n"/>
      <c r="E117" s="11" t="n"/>
      <c r="F117" s="11" t="n"/>
      <c r="G117" s="12">
        <f>IF($B117="","",C117*D117)</f>
        <v/>
      </c>
      <c r="H117" s="12">
        <f>IF($B117="","",G117*(설정!$B$2+설정!$B$3))</f>
        <v/>
      </c>
      <c r="I117" s="12">
        <f>IF($B117="","",G117-H117)</f>
        <v/>
      </c>
      <c r="J117" s="12">
        <f>IF($B117="","",E117*D117+F117)</f>
        <v/>
      </c>
      <c r="K117" s="12">
        <f>IF($B117="","",I117-J117)</f>
        <v/>
      </c>
      <c r="L117" s="13">
        <f>IF($B117="","",IFERROR(K117/G117,0))</f>
        <v/>
      </c>
    </row>
    <row r="118">
      <c r="A118" s="9" t="n"/>
      <c r="B118" s="10" t="n"/>
      <c r="C118" s="11" t="n"/>
      <c r="D118" s="10" t="n"/>
      <c r="E118" s="11" t="n"/>
      <c r="F118" s="11" t="n"/>
      <c r="G118" s="12">
        <f>IF($B118="","",C118*D118)</f>
        <v/>
      </c>
      <c r="H118" s="12">
        <f>IF($B118="","",G118*(설정!$B$2+설정!$B$3))</f>
        <v/>
      </c>
      <c r="I118" s="12">
        <f>IF($B118="","",G118-H118)</f>
        <v/>
      </c>
      <c r="J118" s="12">
        <f>IF($B118="","",E118*D118+F118)</f>
        <v/>
      </c>
      <c r="K118" s="12">
        <f>IF($B118="","",I118-J118)</f>
        <v/>
      </c>
      <c r="L118" s="13">
        <f>IF($B118="","",IFERROR(K118/G118,0))</f>
        <v/>
      </c>
    </row>
    <row r="119">
      <c r="A119" s="9" t="n"/>
      <c r="B119" s="10" t="n"/>
      <c r="C119" s="11" t="n"/>
      <c r="D119" s="10" t="n"/>
      <c r="E119" s="11" t="n"/>
      <c r="F119" s="11" t="n"/>
      <c r="G119" s="12">
        <f>IF($B119="","",C119*D119)</f>
        <v/>
      </c>
      <c r="H119" s="12">
        <f>IF($B119="","",G119*(설정!$B$2+설정!$B$3))</f>
        <v/>
      </c>
      <c r="I119" s="12">
        <f>IF($B119="","",G119-H119)</f>
        <v/>
      </c>
      <c r="J119" s="12">
        <f>IF($B119="","",E119*D119+F119)</f>
        <v/>
      </c>
      <c r="K119" s="12">
        <f>IF($B119="","",I119-J119)</f>
        <v/>
      </c>
      <c r="L119" s="13">
        <f>IF($B119="","",IFERROR(K119/G119,0))</f>
        <v/>
      </c>
    </row>
    <row r="120">
      <c r="A120" s="9" t="n"/>
      <c r="B120" s="10" t="n"/>
      <c r="C120" s="11" t="n"/>
      <c r="D120" s="10" t="n"/>
      <c r="E120" s="11" t="n"/>
      <c r="F120" s="11" t="n"/>
      <c r="G120" s="12">
        <f>IF($B120="","",C120*D120)</f>
        <v/>
      </c>
      <c r="H120" s="12">
        <f>IF($B120="","",G120*(설정!$B$2+설정!$B$3))</f>
        <v/>
      </c>
      <c r="I120" s="12">
        <f>IF($B120="","",G120-H120)</f>
        <v/>
      </c>
      <c r="J120" s="12">
        <f>IF($B120="","",E120*D120+F120)</f>
        <v/>
      </c>
      <c r="K120" s="12">
        <f>IF($B120="","",I120-J120)</f>
        <v/>
      </c>
      <c r="L120" s="13">
        <f>IF($B120="","",IFERROR(K120/G120,0))</f>
        <v/>
      </c>
    </row>
    <row r="121">
      <c r="A121" s="9" t="n"/>
      <c r="B121" s="10" t="n"/>
      <c r="C121" s="11" t="n"/>
      <c r="D121" s="10" t="n"/>
      <c r="E121" s="11" t="n"/>
      <c r="F121" s="11" t="n"/>
      <c r="G121" s="12">
        <f>IF($B121="","",C121*D121)</f>
        <v/>
      </c>
      <c r="H121" s="12">
        <f>IF($B121="","",G121*(설정!$B$2+설정!$B$3))</f>
        <v/>
      </c>
      <c r="I121" s="12">
        <f>IF($B121="","",G121-H121)</f>
        <v/>
      </c>
      <c r="J121" s="12">
        <f>IF($B121="","",E121*D121+F121)</f>
        <v/>
      </c>
      <c r="K121" s="12">
        <f>IF($B121="","",I121-J121)</f>
        <v/>
      </c>
      <c r="L121" s="13">
        <f>IF($B121="","",IFERROR(K121/G121,0))</f>
        <v/>
      </c>
    </row>
    <row r="122">
      <c r="A122" s="9" t="n"/>
      <c r="B122" s="10" t="n"/>
      <c r="C122" s="11" t="n"/>
      <c r="D122" s="10" t="n"/>
      <c r="E122" s="11" t="n"/>
      <c r="F122" s="11" t="n"/>
      <c r="G122" s="12">
        <f>IF($B122="","",C122*D122)</f>
        <v/>
      </c>
      <c r="H122" s="12">
        <f>IF($B122="","",G122*(설정!$B$2+설정!$B$3))</f>
        <v/>
      </c>
      <c r="I122" s="12">
        <f>IF($B122="","",G122-H122)</f>
        <v/>
      </c>
      <c r="J122" s="12">
        <f>IF($B122="","",E122*D122+F122)</f>
        <v/>
      </c>
      <c r="K122" s="12">
        <f>IF($B122="","",I122-J122)</f>
        <v/>
      </c>
      <c r="L122" s="13">
        <f>IF($B122="","",IFERROR(K122/G122,0))</f>
        <v/>
      </c>
    </row>
    <row r="123">
      <c r="A123" s="9" t="n"/>
      <c r="B123" s="10" t="n"/>
      <c r="C123" s="11" t="n"/>
      <c r="D123" s="10" t="n"/>
      <c r="E123" s="11" t="n"/>
      <c r="F123" s="11" t="n"/>
      <c r="G123" s="12">
        <f>IF($B123="","",C123*D123)</f>
        <v/>
      </c>
      <c r="H123" s="12">
        <f>IF($B123="","",G123*(설정!$B$2+설정!$B$3))</f>
        <v/>
      </c>
      <c r="I123" s="12">
        <f>IF($B123="","",G123-H123)</f>
        <v/>
      </c>
      <c r="J123" s="12">
        <f>IF($B123="","",E123*D123+F123)</f>
        <v/>
      </c>
      <c r="K123" s="12">
        <f>IF($B123="","",I123-J123)</f>
        <v/>
      </c>
      <c r="L123" s="13">
        <f>IF($B123="","",IFERROR(K123/G123,0))</f>
        <v/>
      </c>
    </row>
    <row r="124">
      <c r="A124" s="9" t="n"/>
      <c r="B124" s="10" t="n"/>
      <c r="C124" s="11" t="n"/>
      <c r="D124" s="10" t="n"/>
      <c r="E124" s="11" t="n"/>
      <c r="F124" s="11" t="n"/>
      <c r="G124" s="12">
        <f>IF($B124="","",C124*D124)</f>
        <v/>
      </c>
      <c r="H124" s="12">
        <f>IF($B124="","",G124*(설정!$B$2+설정!$B$3))</f>
        <v/>
      </c>
      <c r="I124" s="12">
        <f>IF($B124="","",G124-H124)</f>
        <v/>
      </c>
      <c r="J124" s="12">
        <f>IF($B124="","",E124*D124+F124)</f>
        <v/>
      </c>
      <c r="K124" s="12">
        <f>IF($B124="","",I124-J124)</f>
        <v/>
      </c>
      <c r="L124" s="13">
        <f>IF($B124="","",IFERROR(K124/G124,0))</f>
        <v/>
      </c>
    </row>
    <row r="125">
      <c r="A125" s="9" t="n"/>
      <c r="B125" s="10" t="n"/>
      <c r="C125" s="11" t="n"/>
      <c r="D125" s="10" t="n"/>
      <c r="E125" s="11" t="n"/>
      <c r="F125" s="11" t="n"/>
      <c r="G125" s="12">
        <f>IF($B125="","",C125*D125)</f>
        <v/>
      </c>
      <c r="H125" s="12">
        <f>IF($B125="","",G125*(설정!$B$2+설정!$B$3))</f>
        <v/>
      </c>
      <c r="I125" s="12">
        <f>IF($B125="","",G125-H125)</f>
        <v/>
      </c>
      <c r="J125" s="12">
        <f>IF($B125="","",E125*D125+F125)</f>
        <v/>
      </c>
      <c r="K125" s="12">
        <f>IF($B125="","",I125-J125)</f>
        <v/>
      </c>
      <c r="L125" s="13">
        <f>IF($B125="","",IFERROR(K125/G125,0))</f>
        <v/>
      </c>
    </row>
    <row r="126">
      <c r="A126" s="9" t="n"/>
      <c r="B126" s="10" t="n"/>
      <c r="C126" s="11" t="n"/>
      <c r="D126" s="10" t="n"/>
      <c r="E126" s="11" t="n"/>
      <c r="F126" s="11" t="n"/>
      <c r="G126" s="12">
        <f>IF($B126="","",C126*D126)</f>
        <v/>
      </c>
      <c r="H126" s="12">
        <f>IF($B126="","",G126*(설정!$B$2+설정!$B$3))</f>
        <v/>
      </c>
      <c r="I126" s="12">
        <f>IF($B126="","",G126-H126)</f>
        <v/>
      </c>
      <c r="J126" s="12">
        <f>IF($B126="","",E126*D126+F126)</f>
        <v/>
      </c>
      <c r="K126" s="12">
        <f>IF($B126="","",I126-J126)</f>
        <v/>
      </c>
      <c r="L126" s="13">
        <f>IF($B126="","",IFERROR(K126/G126,0))</f>
        <v/>
      </c>
    </row>
    <row r="127">
      <c r="A127" s="9" t="n"/>
      <c r="B127" s="10" t="n"/>
      <c r="C127" s="11" t="n"/>
      <c r="D127" s="10" t="n"/>
      <c r="E127" s="11" t="n"/>
      <c r="F127" s="11" t="n"/>
      <c r="G127" s="12">
        <f>IF($B127="","",C127*D127)</f>
        <v/>
      </c>
      <c r="H127" s="12">
        <f>IF($B127="","",G127*(설정!$B$2+설정!$B$3))</f>
        <v/>
      </c>
      <c r="I127" s="12">
        <f>IF($B127="","",G127-H127)</f>
        <v/>
      </c>
      <c r="J127" s="12">
        <f>IF($B127="","",E127*D127+F127)</f>
        <v/>
      </c>
      <c r="K127" s="12">
        <f>IF($B127="","",I127-J127)</f>
        <v/>
      </c>
      <c r="L127" s="13">
        <f>IF($B127="","",IFERROR(K127/G127,0))</f>
        <v/>
      </c>
    </row>
    <row r="128">
      <c r="A128" s="9" t="n"/>
      <c r="B128" s="10" t="n"/>
      <c r="C128" s="11" t="n"/>
      <c r="D128" s="10" t="n"/>
      <c r="E128" s="11" t="n"/>
      <c r="F128" s="11" t="n"/>
      <c r="G128" s="12">
        <f>IF($B128="","",C128*D128)</f>
        <v/>
      </c>
      <c r="H128" s="12">
        <f>IF($B128="","",G128*(설정!$B$2+설정!$B$3))</f>
        <v/>
      </c>
      <c r="I128" s="12">
        <f>IF($B128="","",G128-H128)</f>
        <v/>
      </c>
      <c r="J128" s="12">
        <f>IF($B128="","",E128*D128+F128)</f>
        <v/>
      </c>
      <c r="K128" s="12">
        <f>IF($B128="","",I128-J128)</f>
        <v/>
      </c>
      <c r="L128" s="13">
        <f>IF($B128="","",IFERROR(K128/G128,0))</f>
        <v/>
      </c>
    </row>
    <row r="129">
      <c r="A129" s="9" t="n"/>
      <c r="B129" s="10" t="n"/>
      <c r="C129" s="11" t="n"/>
      <c r="D129" s="10" t="n"/>
      <c r="E129" s="11" t="n"/>
      <c r="F129" s="11" t="n"/>
      <c r="G129" s="12">
        <f>IF($B129="","",C129*D129)</f>
        <v/>
      </c>
      <c r="H129" s="12">
        <f>IF($B129="","",G129*(설정!$B$2+설정!$B$3))</f>
        <v/>
      </c>
      <c r="I129" s="12">
        <f>IF($B129="","",G129-H129)</f>
        <v/>
      </c>
      <c r="J129" s="12">
        <f>IF($B129="","",E129*D129+F129)</f>
        <v/>
      </c>
      <c r="K129" s="12">
        <f>IF($B129="","",I129-J129)</f>
        <v/>
      </c>
      <c r="L129" s="13">
        <f>IF($B129="","",IFERROR(K129/G129,0))</f>
        <v/>
      </c>
    </row>
    <row r="130">
      <c r="A130" s="9" t="n"/>
      <c r="B130" s="10" t="n"/>
      <c r="C130" s="11" t="n"/>
      <c r="D130" s="10" t="n"/>
      <c r="E130" s="11" t="n"/>
      <c r="F130" s="11" t="n"/>
      <c r="G130" s="12">
        <f>IF($B130="","",C130*D130)</f>
        <v/>
      </c>
      <c r="H130" s="12">
        <f>IF($B130="","",G130*(설정!$B$2+설정!$B$3))</f>
        <v/>
      </c>
      <c r="I130" s="12">
        <f>IF($B130="","",G130-H130)</f>
        <v/>
      </c>
      <c r="J130" s="12">
        <f>IF($B130="","",E130*D130+F130)</f>
        <v/>
      </c>
      <c r="K130" s="12">
        <f>IF($B130="","",I130-J130)</f>
        <v/>
      </c>
      <c r="L130" s="13">
        <f>IF($B130="","",IFERROR(K130/G130,0))</f>
        <v/>
      </c>
    </row>
    <row r="131">
      <c r="A131" s="9" t="n"/>
      <c r="B131" s="10" t="n"/>
      <c r="C131" s="11" t="n"/>
      <c r="D131" s="10" t="n"/>
      <c r="E131" s="11" t="n"/>
      <c r="F131" s="11" t="n"/>
      <c r="G131" s="12">
        <f>IF($B131="","",C131*D131)</f>
        <v/>
      </c>
      <c r="H131" s="12">
        <f>IF($B131="","",G131*(설정!$B$2+설정!$B$3))</f>
        <v/>
      </c>
      <c r="I131" s="12">
        <f>IF($B131="","",G131-H131)</f>
        <v/>
      </c>
      <c r="J131" s="12">
        <f>IF($B131="","",E131*D131+F131)</f>
        <v/>
      </c>
      <c r="K131" s="12">
        <f>IF($B131="","",I131-J131)</f>
        <v/>
      </c>
      <c r="L131" s="13">
        <f>IF($B131="","",IFERROR(K131/G131,0))</f>
        <v/>
      </c>
    </row>
    <row r="132">
      <c r="A132" s="9" t="n"/>
      <c r="B132" s="10" t="n"/>
      <c r="C132" s="11" t="n"/>
      <c r="D132" s="10" t="n"/>
      <c r="E132" s="11" t="n"/>
      <c r="F132" s="11" t="n"/>
      <c r="G132" s="12">
        <f>IF($B132="","",C132*D132)</f>
        <v/>
      </c>
      <c r="H132" s="12">
        <f>IF($B132="","",G132*(설정!$B$2+설정!$B$3))</f>
        <v/>
      </c>
      <c r="I132" s="12">
        <f>IF($B132="","",G132-H132)</f>
        <v/>
      </c>
      <c r="J132" s="12">
        <f>IF($B132="","",E132*D132+F132)</f>
        <v/>
      </c>
      <c r="K132" s="12">
        <f>IF($B132="","",I132-J132)</f>
        <v/>
      </c>
      <c r="L132" s="13">
        <f>IF($B132="","",IFERROR(K132/G132,0))</f>
        <v/>
      </c>
    </row>
    <row r="133">
      <c r="A133" s="9" t="n"/>
      <c r="B133" s="10" t="n"/>
      <c r="C133" s="11" t="n"/>
      <c r="D133" s="10" t="n"/>
      <c r="E133" s="11" t="n"/>
      <c r="F133" s="11" t="n"/>
      <c r="G133" s="12">
        <f>IF($B133="","",C133*D133)</f>
        <v/>
      </c>
      <c r="H133" s="12">
        <f>IF($B133="","",G133*(설정!$B$2+설정!$B$3))</f>
        <v/>
      </c>
      <c r="I133" s="12">
        <f>IF($B133="","",G133-H133)</f>
        <v/>
      </c>
      <c r="J133" s="12">
        <f>IF($B133="","",E133*D133+F133)</f>
        <v/>
      </c>
      <c r="K133" s="12">
        <f>IF($B133="","",I133-J133)</f>
        <v/>
      </c>
      <c r="L133" s="13">
        <f>IF($B133="","",IFERROR(K133/G133,0))</f>
        <v/>
      </c>
    </row>
    <row r="134">
      <c r="A134" s="9" t="n"/>
      <c r="B134" s="10" t="n"/>
      <c r="C134" s="11" t="n"/>
      <c r="D134" s="10" t="n"/>
      <c r="E134" s="11" t="n"/>
      <c r="F134" s="11" t="n"/>
      <c r="G134" s="12">
        <f>IF($B134="","",C134*D134)</f>
        <v/>
      </c>
      <c r="H134" s="12">
        <f>IF($B134="","",G134*(설정!$B$2+설정!$B$3))</f>
        <v/>
      </c>
      <c r="I134" s="12">
        <f>IF($B134="","",G134-H134)</f>
        <v/>
      </c>
      <c r="J134" s="12">
        <f>IF($B134="","",E134*D134+F134)</f>
        <v/>
      </c>
      <c r="K134" s="12">
        <f>IF($B134="","",I134-J134)</f>
        <v/>
      </c>
      <c r="L134" s="13">
        <f>IF($B134="","",IFERROR(K134/G134,0))</f>
        <v/>
      </c>
    </row>
    <row r="135">
      <c r="A135" s="9" t="n"/>
      <c r="B135" s="10" t="n"/>
      <c r="C135" s="11" t="n"/>
      <c r="D135" s="10" t="n"/>
      <c r="E135" s="11" t="n"/>
      <c r="F135" s="11" t="n"/>
      <c r="G135" s="12">
        <f>IF($B135="","",C135*D135)</f>
        <v/>
      </c>
      <c r="H135" s="12">
        <f>IF($B135="","",G135*(설정!$B$2+설정!$B$3))</f>
        <v/>
      </c>
      <c r="I135" s="12">
        <f>IF($B135="","",G135-H135)</f>
        <v/>
      </c>
      <c r="J135" s="12">
        <f>IF($B135="","",E135*D135+F135)</f>
        <v/>
      </c>
      <c r="K135" s="12">
        <f>IF($B135="","",I135-J135)</f>
        <v/>
      </c>
      <c r="L135" s="13">
        <f>IF($B135="","",IFERROR(K135/G135,0))</f>
        <v/>
      </c>
    </row>
    <row r="136">
      <c r="A136" s="9" t="n"/>
      <c r="B136" s="10" t="n"/>
      <c r="C136" s="11" t="n"/>
      <c r="D136" s="10" t="n"/>
      <c r="E136" s="11" t="n"/>
      <c r="F136" s="11" t="n"/>
      <c r="G136" s="12">
        <f>IF($B136="","",C136*D136)</f>
        <v/>
      </c>
      <c r="H136" s="12">
        <f>IF($B136="","",G136*(설정!$B$2+설정!$B$3))</f>
        <v/>
      </c>
      <c r="I136" s="12">
        <f>IF($B136="","",G136-H136)</f>
        <v/>
      </c>
      <c r="J136" s="12">
        <f>IF($B136="","",E136*D136+F136)</f>
        <v/>
      </c>
      <c r="K136" s="12">
        <f>IF($B136="","",I136-J136)</f>
        <v/>
      </c>
      <c r="L136" s="13">
        <f>IF($B136="","",IFERROR(K136/G136,0))</f>
        <v/>
      </c>
    </row>
    <row r="137">
      <c r="A137" s="9" t="n"/>
      <c r="B137" s="10" t="n"/>
      <c r="C137" s="11" t="n"/>
      <c r="D137" s="10" t="n"/>
      <c r="E137" s="11" t="n"/>
      <c r="F137" s="11" t="n"/>
      <c r="G137" s="12">
        <f>IF($B137="","",C137*D137)</f>
        <v/>
      </c>
      <c r="H137" s="12">
        <f>IF($B137="","",G137*(설정!$B$2+설정!$B$3))</f>
        <v/>
      </c>
      <c r="I137" s="12">
        <f>IF($B137="","",G137-H137)</f>
        <v/>
      </c>
      <c r="J137" s="12">
        <f>IF($B137="","",E137*D137+F137)</f>
        <v/>
      </c>
      <c r="K137" s="12">
        <f>IF($B137="","",I137-J137)</f>
        <v/>
      </c>
      <c r="L137" s="13">
        <f>IF($B137="","",IFERROR(K137/G137,0))</f>
        <v/>
      </c>
    </row>
    <row r="138">
      <c r="A138" s="9" t="n"/>
      <c r="B138" s="10" t="n"/>
      <c r="C138" s="11" t="n"/>
      <c r="D138" s="10" t="n"/>
      <c r="E138" s="11" t="n"/>
      <c r="F138" s="11" t="n"/>
      <c r="G138" s="12">
        <f>IF($B138="","",C138*D138)</f>
        <v/>
      </c>
      <c r="H138" s="12">
        <f>IF($B138="","",G138*(설정!$B$2+설정!$B$3))</f>
        <v/>
      </c>
      <c r="I138" s="12">
        <f>IF($B138="","",G138-H138)</f>
        <v/>
      </c>
      <c r="J138" s="12">
        <f>IF($B138="","",E138*D138+F138)</f>
        <v/>
      </c>
      <c r="K138" s="12">
        <f>IF($B138="","",I138-J138)</f>
        <v/>
      </c>
      <c r="L138" s="13">
        <f>IF($B138="","",IFERROR(K138/G138,0))</f>
        <v/>
      </c>
    </row>
    <row r="139">
      <c r="A139" s="9" t="n"/>
      <c r="B139" s="10" t="n"/>
      <c r="C139" s="11" t="n"/>
      <c r="D139" s="10" t="n"/>
      <c r="E139" s="11" t="n"/>
      <c r="F139" s="11" t="n"/>
      <c r="G139" s="12">
        <f>IF($B139="","",C139*D139)</f>
        <v/>
      </c>
      <c r="H139" s="12">
        <f>IF($B139="","",G139*(설정!$B$2+설정!$B$3))</f>
        <v/>
      </c>
      <c r="I139" s="12">
        <f>IF($B139="","",G139-H139)</f>
        <v/>
      </c>
      <c r="J139" s="12">
        <f>IF($B139="","",E139*D139+F139)</f>
        <v/>
      </c>
      <c r="K139" s="12">
        <f>IF($B139="","",I139-J139)</f>
        <v/>
      </c>
      <c r="L139" s="13">
        <f>IF($B139="","",IFERROR(K139/G139,0))</f>
        <v/>
      </c>
    </row>
    <row r="140">
      <c r="A140" s="9" t="n"/>
      <c r="B140" s="10" t="n"/>
      <c r="C140" s="11" t="n"/>
      <c r="D140" s="10" t="n"/>
      <c r="E140" s="11" t="n"/>
      <c r="F140" s="11" t="n"/>
      <c r="G140" s="12">
        <f>IF($B140="","",C140*D140)</f>
        <v/>
      </c>
      <c r="H140" s="12">
        <f>IF($B140="","",G140*(설정!$B$2+설정!$B$3))</f>
        <v/>
      </c>
      <c r="I140" s="12">
        <f>IF($B140="","",G140-H140)</f>
        <v/>
      </c>
      <c r="J140" s="12">
        <f>IF($B140="","",E140*D140+F140)</f>
        <v/>
      </c>
      <c r="K140" s="12">
        <f>IF($B140="","",I140-J140)</f>
        <v/>
      </c>
      <c r="L140" s="13">
        <f>IF($B140="","",IFERROR(K140/G140,0))</f>
        <v/>
      </c>
    </row>
    <row r="141">
      <c r="A141" s="9" t="n"/>
      <c r="B141" s="10" t="n"/>
      <c r="C141" s="11" t="n"/>
      <c r="D141" s="10" t="n"/>
      <c r="E141" s="11" t="n"/>
      <c r="F141" s="11" t="n"/>
      <c r="G141" s="12">
        <f>IF($B141="","",C141*D141)</f>
        <v/>
      </c>
      <c r="H141" s="12">
        <f>IF($B141="","",G141*(설정!$B$2+설정!$B$3))</f>
        <v/>
      </c>
      <c r="I141" s="12">
        <f>IF($B141="","",G141-H141)</f>
        <v/>
      </c>
      <c r="J141" s="12">
        <f>IF($B141="","",E141*D141+F141)</f>
        <v/>
      </c>
      <c r="K141" s="12">
        <f>IF($B141="","",I141-J141)</f>
        <v/>
      </c>
      <c r="L141" s="13">
        <f>IF($B141="","",IFERROR(K141/G141,0))</f>
        <v/>
      </c>
    </row>
    <row r="142">
      <c r="A142" s="9" t="n"/>
      <c r="B142" s="10" t="n"/>
      <c r="C142" s="11" t="n"/>
      <c r="D142" s="10" t="n"/>
      <c r="E142" s="11" t="n"/>
      <c r="F142" s="11" t="n"/>
      <c r="G142" s="12">
        <f>IF($B142="","",C142*D142)</f>
        <v/>
      </c>
      <c r="H142" s="12">
        <f>IF($B142="","",G142*(설정!$B$2+설정!$B$3))</f>
        <v/>
      </c>
      <c r="I142" s="12">
        <f>IF($B142="","",G142-H142)</f>
        <v/>
      </c>
      <c r="J142" s="12">
        <f>IF($B142="","",E142*D142+F142)</f>
        <v/>
      </c>
      <c r="K142" s="12">
        <f>IF($B142="","",I142-J142)</f>
        <v/>
      </c>
      <c r="L142" s="13">
        <f>IF($B142="","",IFERROR(K142/G142,0))</f>
        <v/>
      </c>
    </row>
    <row r="143">
      <c r="A143" s="9" t="n"/>
      <c r="B143" s="10" t="n"/>
      <c r="C143" s="11" t="n"/>
      <c r="D143" s="10" t="n"/>
      <c r="E143" s="11" t="n"/>
      <c r="F143" s="11" t="n"/>
      <c r="G143" s="12">
        <f>IF($B143="","",C143*D143)</f>
        <v/>
      </c>
      <c r="H143" s="12">
        <f>IF($B143="","",G143*(설정!$B$2+설정!$B$3))</f>
        <v/>
      </c>
      <c r="I143" s="12">
        <f>IF($B143="","",G143-H143)</f>
        <v/>
      </c>
      <c r="J143" s="12">
        <f>IF($B143="","",E143*D143+F143)</f>
        <v/>
      </c>
      <c r="K143" s="12">
        <f>IF($B143="","",I143-J143)</f>
        <v/>
      </c>
      <c r="L143" s="13">
        <f>IF($B143="","",IFERROR(K143/G143,0))</f>
        <v/>
      </c>
    </row>
    <row r="144">
      <c r="A144" s="9" t="n"/>
      <c r="B144" s="10" t="n"/>
      <c r="C144" s="11" t="n"/>
      <c r="D144" s="10" t="n"/>
      <c r="E144" s="11" t="n"/>
      <c r="F144" s="11" t="n"/>
      <c r="G144" s="12">
        <f>IF($B144="","",C144*D144)</f>
        <v/>
      </c>
      <c r="H144" s="12">
        <f>IF($B144="","",G144*(설정!$B$2+설정!$B$3))</f>
        <v/>
      </c>
      <c r="I144" s="12">
        <f>IF($B144="","",G144-H144)</f>
        <v/>
      </c>
      <c r="J144" s="12">
        <f>IF($B144="","",E144*D144+F144)</f>
        <v/>
      </c>
      <c r="K144" s="12">
        <f>IF($B144="","",I144-J144)</f>
        <v/>
      </c>
      <c r="L144" s="13">
        <f>IF($B144="","",IFERROR(K144/G144,0))</f>
        <v/>
      </c>
    </row>
    <row r="145">
      <c r="A145" s="9" t="n"/>
      <c r="B145" s="10" t="n"/>
      <c r="C145" s="11" t="n"/>
      <c r="D145" s="10" t="n"/>
      <c r="E145" s="11" t="n"/>
      <c r="F145" s="11" t="n"/>
      <c r="G145" s="12">
        <f>IF($B145="","",C145*D145)</f>
        <v/>
      </c>
      <c r="H145" s="12">
        <f>IF($B145="","",G145*(설정!$B$2+설정!$B$3))</f>
        <v/>
      </c>
      <c r="I145" s="12">
        <f>IF($B145="","",G145-H145)</f>
        <v/>
      </c>
      <c r="J145" s="12">
        <f>IF($B145="","",E145*D145+F145)</f>
        <v/>
      </c>
      <c r="K145" s="12">
        <f>IF($B145="","",I145-J145)</f>
        <v/>
      </c>
      <c r="L145" s="13">
        <f>IF($B145="","",IFERROR(K145/G145,0))</f>
        <v/>
      </c>
    </row>
    <row r="146">
      <c r="A146" s="9" t="n"/>
      <c r="B146" s="10" t="n"/>
      <c r="C146" s="11" t="n"/>
      <c r="D146" s="10" t="n"/>
      <c r="E146" s="11" t="n"/>
      <c r="F146" s="11" t="n"/>
      <c r="G146" s="12">
        <f>IF($B146="","",C146*D146)</f>
        <v/>
      </c>
      <c r="H146" s="12">
        <f>IF($B146="","",G146*(설정!$B$2+설정!$B$3))</f>
        <v/>
      </c>
      <c r="I146" s="12">
        <f>IF($B146="","",G146-H146)</f>
        <v/>
      </c>
      <c r="J146" s="12">
        <f>IF($B146="","",E146*D146+F146)</f>
        <v/>
      </c>
      <c r="K146" s="12">
        <f>IF($B146="","",I146-J146)</f>
        <v/>
      </c>
      <c r="L146" s="13">
        <f>IF($B146="","",IFERROR(K146/G146,0))</f>
        <v/>
      </c>
    </row>
    <row r="147">
      <c r="A147" s="9" t="n"/>
      <c r="B147" s="10" t="n"/>
      <c r="C147" s="11" t="n"/>
      <c r="D147" s="10" t="n"/>
      <c r="E147" s="11" t="n"/>
      <c r="F147" s="11" t="n"/>
      <c r="G147" s="12">
        <f>IF($B147="","",C147*D147)</f>
        <v/>
      </c>
      <c r="H147" s="12">
        <f>IF($B147="","",G147*(설정!$B$2+설정!$B$3))</f>
        <v/>
      </c>
      <c r="I147" s="12">
        <f>IF($B147="","",G147-H147)</f>
        <v/>
      </c>
      <c r="J147" s="12">
        <f>IF($B147="","",E147*D147+F147)</f>
        <v/>
      </c>
      <c r="K147" s="12">
        <f>IF($B147="","",I147-J147)</f>
        <v/>
      </c>
      <c r="L147" s="13">
        <f>IF($B147="","",IFERROR(K147/G147,0))</f>
        <v/>
      </c>
    </row>
    <row r="148">
      <c r="A148" s="9" t="n"/>
      <c r="B148" s="10" t="n"/>
      <c r="C148" s="11" t="n"/>
      <c r="D148" s="10" t="n"/>
      <c r="E148" s="11" t="n"/>
      <c r="F148" s="11" t="n"/>
      <c r="G148" s="12">
        <f>IF($B148="","",C148*D148)</f>
        <v/>
      </c>
      <c r="H148" s="12">
        <f>IF($B148="","",G148*(설정!$B$2+설정!$B$3))</f>
        <v/>
      </c>
      <c r="I148" s="12">
        <f>IF($B148="","",G148-H148)</f>
        <v/>
      </c>
      <c r="J148" s="12">
        <f>IF($B148="","",E148*D148+F148)</f>
        <v/>
      </c>
      <c r="K148" s="12">
        <f>IF($B148="","",I148-J148)</f>
        <v/>
      </c>
      <c r="L148" s="13">
        <f>IF($B148="","",IFERROR(K148/G148,0))</f>
        <v/>
      </c>
    </row>
    <row r="149">
      <c r="A149" s="9" t="n"/>
      <c r="B149" s="10" t="n"/>
      <c r="C149" s="11" t="n"/>
      <c r="D149" s="10" t="n"/>
      <c r="E149" s="11" t="n"/>
      <c r="F149" s="11" t="n"/>
      <c r="G149" s="12">
        <f>IF($B149="","",C149*D149)</f>
        <v/>
      </c>
      <c r="H149" s="12">
        <f>IF($B149="","",G149*(설정!$B$2+설정!$B$3))</f>
        <v/>
      </c>
      <c r="I149" s="12">
        <f>IF($B149="","",G149-H149)</f>
        <v/>
      </c>
      <c r="J149" s="12">
        <f>IF($B149="","",E149*D149+F149)</f>
        <v/>
      </c>
      <c r="K149" s="12">
        <f>IF($B149="","",I149-J149)</f>
        <v/>
      </c>
      <c r="L149" s="13">
        <f>IF($B149="","",IFERROR(K149/G149,0))</f>
        <v/>
      </c>
    </row>
    <row r="150">
      <c r="A150" s="9" t="n"/>
      <c r="B150" s="10" t="n"/>
      <c r="C150" s="11" t="n"/>
      <c r="D150" s="10" t="n"/>
      <c r="E150" s="11" t="n"/>
      <c r="F150" s="11" t="n"/>
      <c r="G150" s="12">
        <f>IF($B150="","",C150*D150)</f>
        <v/>
      </c>
      <c r="H150" s="12">
        <f>IF($B150="","",G150*(설정!$B$2+설정!$B$3))</f>
        <v/>
      </c>
      <c r="I150" s="12">
        <f>IF($B150="","",G150-H150)</f>
        <v/>
      </c>
      <c r="J150" s="12">
        <f>IF($B150="","",E150*D150+F150)</f>
        <v/>
      </c>
      <c r="K150" s="12">
        <f>IF($B150="","",I150-J150)</f>
        <v/>
      </c>
      <c r="L150" s="13">
        <f>IF($B150="","",IFERROR(K150/G150,0))</f>
        <v/>
      </c>
    </row>
    <row r="151">
      <c r="A151" s="9" t="n"/>
      <c r="B151" s="10" t="n"/>
      <c r="C151" s="11" t="n"/>
      <c r="D151" s="10" t="n"/>
      <c r="E151" s="11" t="n"/>
      <c r="F151" s="11" t="n"/>
      <c r="G151" s="12">
        <f>IF($B151="","",C151*D151)</f>
        <v/>
      </c>
      <c r="H151" s="12">
        <f>IF($B151="","",G151*(설정!$B$2+설정!$B$3))</f>
        <v/>
      </c>
      <c r="I151" s="12">
        <f>IF($B151="","",G151-H151)</f>
        <v/>
      </c>
      <c r="J151" s="12">
        <f>IF($B151="","",E151*D151+F151)</f>
        <v/>
      </c>
      <c r="K151" s="12">
        <f>IF($B151="","",I151-J151)</f>
        <v/>
      </c>
      <c r="L151" s="13">
        <f>IF($B151="","",IFERROR(K151/G151,0))</f>
        <v/>
      </c>
    </row>
    <row r="152">
      <c r="A152" s="9" t="n"/>
      <c r="B152" s="10" t="n"/>
      <c r="C152" s="11" t="n"/>
      <c r="D152" s="10" t="n"/>
      <c r="E152" s="11" t="n"/>
      <c r="F152" s="11" t="n"/>
      <c r="G152" s="12">
        <f>IF($B152="","",C152*D152)</f>
        <v/>
      </c>
      <c r="H152" s="12">
        <f>IF($B152="","",G152*(설정!$B$2+설정!$B$3))</f>
        <v/>
      </c>
      <c r="I152" s="12">
        <f>IF($B152="","",G152-H152)</f>
        <v/>
      </c>
      <c r="J152" s="12">
        <f>IF($B152="","",E152*D152+F152)</f>
        <v/>
      </c>
      <c r="K152" s="12">
        <f>IF($B152="","",I152-J152)</f>
        <v/>
      </c>
      <c r="L152" s="13">
        <f>IF($B152="","",IFERROR(K152/G152,0))</f>
        <v/>
      </c>
    </row>
    <row r="153">
      <c r="A153" s="9" t="n"/>
      <c r="B153" s="10" t="n"/>
      <c r="C153" s="11" t="n"/>
      <c r="D153" s="10" t="n"/>
      <c r="E153" s="11" t="n"/>
      <c r="F153" s="11" t="n"/>
      <c r="G153" s="12">
        <f>IF($B153="","",C153*D153)</f>
        <v/>
      </c>
      <c r="H153" s="12">
        <f>IF($B153="","",G153*(설정!$B$2+설정!$B$3))</f>
        <v/>
      </c>
      <c r="I153" s="12">
        <f>IF($B153="","",G153-H153)</f>
        <v/>
      </c>
      <c r="J153" s="12">
        <f>IF($B153="","",E153*D153+F153)</f>
        <v/>
      </c>
      <c r="K153" s="12">
        <f>IF($B153="","",I153-J153)</f>
        <v/>
      </c>
      <c r="L153" s="13">
        <f>IF($B153="","",IFERROR(K153/G153,0))</f>
        <v/>
      </c>
    </row>
    <row r="154">
      <c r="A154" s="9" t="n"/>
      <c r="B154" s="10" t="n"/>
      <c r="C154" s="11" t="n"/>
      <c r="D154" s="10" t="n"/>
      <c r="E154" s="11" t="n"/>
      <c r="F154" s="11" t="n"/>
      <c r="G154" s="12">
        <f>IF($B154="","",C154*D154)</f>
        <v/>
      </c>
      <c r="H154" s="12">
        <f>IF($B154="","",G154*(설정!$B$2+설정!$B$3))</f>
        <v/>
      </c>
      <c r="I154" s="12">
        <f>IF($B154="","",G154-H154)</f>
        <v/>
      </c>
      <c r="J154" s="12">
        <f>IF($B154="","",E154*D154+F154)</f>
        <v/>
      </c>
      <c r="K154" s="12">
        <f>IF($B154="","",I154-J154)</f>
        <v/>
      </c>
      <c r="L154" s="13">
        <f>IF($B154="","",IFERROR(K154/G154,0))</f>
        <v/>
      </c>
    </row>
    <row r="155">
      <c r="A155" s="9" t="n"/>
      <c r="B155" s="10" t="n"/>
      <c r="C155" s="11" t="n"/>
      <c r="D155" s="10" t="n"/>
      <c r="E155" s="11" t="n"/>
      <c r="F155" s="11" t="n"/>
      <c r="G155" s="12">
        <f>IF($B155="","",C155*D155)</f>
        <v/>
      </c>
      <c r="H155" s="12">
        <f>IF($B155="","",G155*(설정!$B$2+설정!$B$3))</f>
        <v/>
      </c>
      <c r="I155" s="12">
        <f>IF($B155="","",G155-H155)</f>
        <v/>
      </c>
      <c r="J155" s="12">
        <f>IF($B155="","",E155*D155+F155)</f>
        <v/>
      </c>
      <c r="K155" s="12">
        <f>IF($B155="","",I155-J155)</f>
        <v/>
      </c>
      <c r="L155" s="13">
        <f>IF($B155="","",IFERROR(K155/G155,0))</f>
        <v/>
      </c>
    </row>
    <row r="156">
      <c r="A156" s="9" t="n"/>
      <c r="B156" s="10" t="n"/>
      <c r="C156" s="11" t="n"/>
      <c r="D156" s="10" t="n"/>
      <c r="E156" s="11" t="n"/>
      <c r="F156" s="11" t="n"/>
      <c r="G156" s="12">
        <f>IF($B156="","",C156*D156)</f>
        <v/>
      </c>
      <c r="H156" s="12">
        <f>IF($B156="","",G156*(설정!$B$2+설정!$B$3))</f>
        <v/>
      </c>
      <c r="I156" s="12">
        <f>IF($B156="","",G156-H156)</f>
        <v/>
      </c>
      <c r="J156" s="12">
        <f>IF($B156="","",E156*D156+F156)</f>
        <v/>
      </c>
      <c r="K156" s="12">
        <f>IF($B156="","",I156-J156)</f>
        <v/>
      </c>
      <c r="L156" s="13">
        <f>IF($B156="","",IFERROR(K156/G156,0))</f>
        <v/>
      </c>
    </row>
    <row r="157">
      <c r="A157" s="9" t="n"/>
      <c r="B157" s="10" t="n"/>
      <c r="C157" s="11" t="n"/>
      <c r="D157" s="10" t="n"/>
      <c r="E157" s="11" t="n"/>
      <c r="F157" s="11" t="n"/>
      <c r="G157" s="12">
        <f>IF($B157="","",C157*D157)</f>
        <v/>
      </c>
      <c r="H157" s="12">
        <f>IF($B157="","",G157*(설정!$B$2+설정!$B$3))</f>
        <v/>
      </c>
      <c r="I157" s="12">
        <f>IF($B157="","",G157-H157)</f>
        <v/>
      </c>
      <c r="J157" s="12">
        <f>IF($B157="","",E157*D157+F157)</f>
        <v/>
      </c>
      <c r="K157" s="12">
        <f>IF($B157="","",I157-J157)</f>
        <v/>
      </c>
      <c r="L157" s="13">
        <f>IF($B157="","",IFERROR(K157/G157,0))</f>
        <v/>
      </c>
    </row>
    <row r="158">
      <c r="A158" s="9" t="n"/>
      <c r="B158" s="10" t="n"/>
      <c r="C158" s="11" t="n"/>
      <c r="D158" s="10" t="n"/>
      <c r="E158" s="11" t="n"/>
      <c r="F158" s="11" t="n"/>
      <c r="G158" s="12">
        <f>IF($B158="","",C158*D158)</f>
        <v/>
      </c>
      <c r="H158" s="12">
        <f>IF($B158="","",G158*(설정!$B$2+설정!$B$3))</f>
        <v/>
      </c>
      <c r="I158" s="12">
        <f>IF($B158="","",G158-H158)</f>
        <v/>
      </c>
      <c r="J158" s="12">
        <f>IF($B158="","",E158*D158+F158)</f>
        <v/>
      </c>
      <c r="K158" s="12">
        <f>IF($B158="","",I158-J158)</f>
        <v/>
      </c>
      <c r="L158" s="13">
        <f>IF($B158="","",IFERROR(K158/G158,0))</f>
        <v/>
      </c>
    </row>
    <row r="159">
      <c r="A159" s="9" t="n"/>
      <c r="B159" s="10" t="n"/>
      <c r="C159" s="11" t="n"/>
      <c r="D159" s="10" t="n"/>
      <c r="E159" s="11" t="n"/>
      <c r="F159" s="11" t="n"/>
      <c r="G159" s="12">
        <f>IF($B159="","",C159*D159)</f>
        <v/>
      </c>
      <c r="H159" s="12">
        <f>IF($B159="","",G159*(설정!$B$2+설정!$B$3))</f>
        <v/>
      </c>
      <c r="I159" s="12">
        <f>IF($B159="","",G159-H159)</f>
        <v/>
      </c>
      <c r="J159" s="12">
        <f>IF($B159="","",E159*D159+F159)</f>
        <v/>
      </c>
      <c r="K159" s="12">
        <f>IF($B159="","",I159-J159)</f>
        <v/>
      </c>
      <c r="L159" s="13">
        <f>IF($B159="","",IFERROR(K159/G159,0))</f>
        <v/>
      </c>
    </row>
    <row r="160">
      <c r="A160" s="9" t="n"/>
      <c r="B160" s="10" t="n"/>
      <c r="C160" s="11" t="n"/>
      <c r="D160" s="10" t="n"/>
      <c r="E160" s="11" t="n"/>
      <c r="F160" s="11" t="n"/>
      <c r="G160" s="12">
        <f>IF($B160="","",C160*D160)</f>
        <v/>
      </c>
      <c r="H160" s="12">
        <f>IF($B160="","",G160*(설정!$B$2+설정!$B$3))</f>
        <v/>
      </c>
      <c r="I160" s="12">
        <f>IF($B160="","",G160-H160)</f>
        <v/>
      </c>
      <c r="J160" s="12">
        <f>IF($B160="","",E160*D160+F160)</f>
        <v/>
      </c>
      <c r="K160" s="12">
        <f>IF($B160="","",I160-J160)</f>
        <v/>
      </c>
      <c r="L160" s="13">
        <f>IF($B160="","",IFERROR(K160/G160,0))</f>
        <v/>
      </c>
    </row>
    <row r="161">
      <c r="A161" s="9" t="n"/>
      <c r="B161" s="10" t="n"/>
      <c r="C161" s="11" t="n"/>
      <c r="D161" s="10" t="n"/>
      <c r="E161" s="11" t="n"/>
      <c r="F161" s="11" t="n"/>
      <c r="G161" s="12">
        <f>IF($B161="","",C161*D161)</f>
        <v/>
      </c>
      <c r="H161" s="12">
        <f>IF($B161="","",G161*(설정!$B$2+설정!$B$3))</f>
        <v/>
      </c>
      <c r="I161" s="12">
        <f>IF($B161="","",G161-H161)</f>
        <v/>
      </c>
      <c r="J161" s="12">
        <f>IF($B161="","",E161*D161+F161)</f>
        <v/>
      </c>
      <c r="K161" s="12">
        <f>IF($B161="","",I161-J161)</f>
        <v/>
      </c>
      <c r="L161" s="13">
        <f>IF($B161="","",IFERROR(K161/G161,0))</f>
        <v/>
      </c>
    </row>
    <row r="162">
      <c r="A162" s="9" t="n"/>
      <c r="B162" s="10" t="n"/>
      <c r="C162" s="11" t="n"/>
      <c r="D162" s="10" t="n"/>
      <c r="E162" s="11" t="n"/>
      <c r="F162" s="11" t="n"/>
      <c r="G162" s="12">
        <f>IF($B162="","",C162*D162)</f>
        <v/>
      </c>
      <c r="H162" s="12">
        <f>IF($B162="","",G162*(설정!$B$2+설정!$B$3))</f>
        <v/>
      </c>
      <c r="I162" s="12">
        <f>IF($B162="","",G162-H162)</f>
        <v/>
      </c>
      <c r="J162" s="12">
        <f>IF($B162="","",E162*D162+F162)</f>
        <v/>
      </c>
      <c r="K162" s="12">
        <f>IF($B162="","",I162-J162)</f>
        <v/>
      </c>
      <c r="L162" s="13">
        <f>IF($B162="","",IFERROR(K162/G162,0))</f>
        <v/>
      </c>
    </row>
    <row r="163">
      <c r="A163" s="9" t="n"/>
      <c r="B163" s="10" t="n"/>
      <c r="C163" s="11" t="n"/>
      <c r="D163" s="10" t="n"/>
      <c r="E163" s="11" t="n"/>
      <c r="F163" s="11" t="n"/>
      <c r="G163" s="12">
        <f>IF($B163="","",C163*D163)</f>
        <v/>
      </c>
      <c r="H163" s="12">
        <f>IF($B163="","",G163*(설정!$B$2+설정!$B$3))</f>
        <v/>
      </c>
      <c r="I163" s="12">
        <f>IF($B163="","",G163-H163)</f>
        <v/>
      </c>
      <c r="J163" s="12">
        <f>IF($B163="","",E163*D163+F163)</f>
        <v/>
      </c>
      <c r="K163" s="12">
        <f>IF($B163="","",I163-J163)</f>
        <v/>
      </c>
      <c r="L163" s="13">
        <f>IF($B163="","",IFERROR(K163/G163,0))</f>
        <v/>
      </c>
    </row>
    <row r="164">
      <c r="A164" s="9" t="n"/>
      <c r="B164" s="10" t="n"/>
      <c r="C164" s="11" t="n"/>
      <c r="D164" s="10" t="n"/>
      <c r="E164" s="11" t="n"/>
      <c r="F164" s="11" t="n"/>
      <c r="G164" s="12">
        <f>IF($B164="","",C164*D164)</f>
        <v/>
      </c>
      <c r="H164" s="12">
        <f>IF($B164="","",G164*(설정!$B$2+설정!$B$3))</f>
        <v/>
      </c>
      <c r="I164" s="12">
        <f>IF($B164="","",G164-H164)</f>
        <v/>
      </c>
      <c r="J164" s="12">
        <f>IF($B164="","",E164*D164+F164)</f>
        <v/>
      </c>
      <c r="K164" s="12">
        <f>IF($B164="","",I164-J164)</f>
        <v/>
      </c>
      <c r="L164" s="13">
        <f>IF($B164="","",IFERROR(K164/G164,0))</f>
        <v/>
      </c>
    </row>
    <row r="165">
      <c r="A165" s="9" t="n"/>
      <c r="B165" s="10" t="n"/>
      <c r="C165" s="11" t="n"/>
      <c r="D165" s="10" t="n"/>
      <c r="E165" s="11" t="n"/>
      <c r="F165" s="11" t="n"/>
      <c r="G165" s="12">
        <f>IF($B165="","",C165*D165)</f>
        <v/>
      </c>
      <c r="H165" s="12">
        <f>IF($B165="","",G165*(설정!$B$2+설정!$B$3))</f>
        <v/>
      </c>
      <c r="I165" s="12">
        <f>IF($B165="","",G165-H165)</f>
        <v/>
      </c>
      <c r="J165" s="12">
        <f>IF($B165="","",E165*D165+F165)</f>
        <v/>
      </c>
      <c r="K165" s="12">
        <f>IF($B165="","",I165-J165)</f>
        <v/>
      </c>
      <c r="L165" s="13">
        <f>IF($B165="","",IFERROR(K165/G165,0))</f>
        <v/>
      </c>
    </row>
    <row r="166">
      <c r="A166" s="9" t="n"/>
      <c r="B166" s="10" t="n"/>
      <c r="C166" s="11" t="n"/>
      <c r="D166" s="10" t="n"/>
      <c r="E166" s="11" t="n"/>
      <c r="F166" s="11" t="n"/>
      <c r="G166" s="12">
        <f>IF($B166="","",C166*D166)</f>
        <v/>
      </c>
      <c r="H166" s="12">
        <f>IF($B166="","",G166*(설정!$B$2+설정!$B$3))</f>
        <v/>
      </c>
      <c r="I166" s="12">
        <f>IF($B166="","",G166-H166)</f>
        <v/>
      </c>
      <c r="J166" s="12">
        <f>IF($B166="","",E166*D166+F166)</f>
        <v/>
      </c>
      <c r="K166" s="12">
        <f>IF($B166="","",I166-J166)</f>
        <v/>
      </c>
      <c r="L166" s="13">
        <f>IF($B166="","",IFERROR(K166/G166,0))</f>
        <v/>
      </c>
    </row>
    <row r="167">
      <c r="A167" s="9" t="n"/>
      <c r="B167" s="10" t="n"/>
      <c r="C167" s="11" t="n"/>
      <c r="D167" s="10" t="n"/>
      <c r="E167" s="11" t="n"/>
      <c r="F167" s="11" t="n"/>
      <c r="G167" s="12">
        <f>IF($B167="","",C167*D167)</f>
        <v/>
      </c>
      <c r="H167" s="12">
        <f>IF($B167="","",G167*(설정!$B$2+설정!$B$3))</f>
        <v/>
      </c>
      <c r="I167" s="12">
        <f>IF($B167="","",G167-H167)</f>
        <v/>
      </c>
      <c r="J167" s="12">
        <f>IF($B167="","",E167*D167+F167)</f>
        <v/>
      </c>
      <c r="K167" s="12">
        <f>IF($B167="","",I167-J167)</f>
        <v/>
      </c>
      <c r="L167" s="13">
        <f>IF($B167="","",IFERROR(K167/G167,0))</f>
        <v/>
      </c>
    </row>
    <row r="168">
      <c r="A168" s="9" t="n"/>
      <c r="B168" s="10" t="n"/>
      <c r="C168" s="11" t="n"/>
      <c r="D168" s="10" t="n"/>
      <c r="E168" s="11" t="n"/>
      <c r="F168" s="11" t="n"/>
      <c r="G168" s="12">
        <f>IF($B168="","",C168*D168)</f>
        <v/>
      </c>
      <c r="H168" s="12">
        <f>IF($B168="","",G168*(설정!$B$2+설정!$B$3))</f>
        <v/>
      </c>
      <c r="I168" s="12">
        <f>IF($B168="","",G168-H168)</f>
        <v/>
      </c>
      <c r="J168" s="12">
        <f>IF($B168="","",E168*D168+F168)</f>
        <v/>
      </c>
      <c r="K168" s="12">
        <f>IF($B168="","",I168-J168)</f>
        <v/>
      </c>
      <c r="L168" s="13">
        <f>IF($B168="","",IFERROR(K168/G168,0))</f>
        <v/>
      </c>
    </row>
    <row r="169">
      <c r="A169" s="9" t="n"/>
      <c r="B169" s="10" t="n"/>
      <c r="C169" s="11" t="n"/>
      <c r="D169" s="10" t="n"/>
      <c r="E169" s="11" t="n"/>
      <c r="F169" s="11" t="n"/>
      <c r="G169" s="12">
        <f>IF($B169="","",C169*D169)</f>
        <v/>
      </c>
      <c r="H169" s="12">
        <f>IF($B169="","",G169*(설정!$B$2+설정!$B$3))</f>
        <v/>
      </c>
      <c r="I169" s="12">
        <f>IF($B169="","",G169-H169)</f>
        <v/>
      </c>
      <c r="J169" s="12">
        <f>IF($B169="","",E169*D169+F169)</f>
        <v/>
      </c>
      <c r="K169" s="12">
        <f>IF($B169="","",I169-J169)</f>
        <v/>
      </c>
      <c r="L169" s="13">
        <f>IF($B169="","",IFERROR(K169/G169,0))</f>
        <v/>
      </c>
    </row>
    <row r="170">
      <c r="A170" s="9" t="n"/>
      <c r="B170" s="10" t="n"/>
      <c r="C170" s="11" t="n"/>
      <c r="D170" s="10" t="n"/>
      <c r="E170" s="11" t="n"/>
      <c r="F170" s="11" t="n"/>
      <c r="G170" s="12">
        <f>IF($B170="","",C170*D170)</f>
        <v/>
      </c>
      <c r="H170" s="12">
        <f>IF($B170="","",G170*(설정!$B$2+설정!$B$3))</f>
        <v/>
      </c>
      <c r="I170" s="12">
        <f>IF($B170="","",G170-H170)</f>
        <v/>
      </c>
      <c r="J170" s="12">
        <f>IF($B170="","",E170*D170+F170)</f>
        <v/>
      </c>
      <c r="K170" s="12">
        <f>IF($B170="","",I170-J170)</f>
        <v/>
      </c>
      <c r="L170" s="13">
        <f>IF($B170="","",IFERROR(K170/G170,0))</f>
        <v/>
      </c>
    </row>
    <row r="171">
      <c r="A171" s="9" t="n"/>
      <c r="B171" s="10" t="n"/>
      <c r="C171" s="11" t="n"/>
      <c r="D171" s="10" t="n"/>
      <c r="E171" s="11" t="n"/>
      <c r="F171" s="11" t="n"/>
      <c r="G171" s="12">
        <f>IF($B171="","",C171*D171)</f>
        <v/>
      </c>
      <c r="H171" s="12">
        <f>IF($B171="","",G171*(설정!$B$2+설정!$B$3))</f>
        <v/>
      </c>
      <c r="I171" s="12">
        <f>IF($B171="","",G171-H171)</f>
        <v/>
      </c>
      <c r="J171" s="12">
        <f>IF($B171="","",E171*D171+F171)</f>
        <v/>
      </c>
      <c r="K171" s="12">
        <f>IF($B171="","",I171-J171)</f>
        <v/>
      </c>
      <c r="L171" s="13">
        <f>IF($B171="","",IFERROR(K171/G171,0))</f>
        <v/>
      </c>
    </row>
    <row r="172">
      <c r="A172" s="9" t="n"/>
      <c r="B172" s="10" t="n"/>
      <c r="C172" s="11" t="n"/>
      <c r="D172" s="10" t="n"/>
      <c r="E172" s="11" t="n"/>
      <c r="F172" s="11" t="n"/>
      <c r="G172" s="12">
        <f>IF($B172="","",C172*D172)</f>
        <v/>
      </c>
      <c r="H172" s="12">
        <f>IF($B172="","",G172*(설정!$B$2+설정!$B$3))</f>
        <v/>
      </c>
      <c r="I172" s="12">
        <f>IF($B172="","",G172-H172)</f>
        <v/>
      </c>
      <c r="J172" s="12">
        <f>IF($B172="","",E172*D172+F172)</f>
        <v/>
      </c>
      <c r="K172" s="12">
        <f>IF($B172="","",I172-J172)</f>
        <v/>
      </c>
      <c r="L172" s="13">
        <f>IF($B172="","",IFERROR(K172/G172,0))</f>
        <v/>
      </c>
    </row>
    <row r="173">
      <c r="A173" s="9" t="n"/>
      <c r="B173" s="10" t="n"/>
      <c r="C173" s="11" t="n"/>
      <c r="D173" s="10" t="n"/>
      <c r="E173" s="11" t="n"/>
      <c r="F173" s="11" t="n"/>
      <c r="G173" s="12">
        <f>IF($B173="","",C173*D173)</f>
        <v/>
      </c>
      <c r="H173" s="12">
        <f>IF($B173="","",G173*(설정!$B$2+설정!$B$3))</f>
        <v/>
      </c>
      <c r="I173" s="12">
        <f>IF($B173="","",G173-H173)</f>
        <v/>
      </c>
      <c r="J173" s="12">
        <f>IF($B173="","",E173*D173+F173)</f>
        <v/>
      </c>
      <c r="K173" s="12">
        <f>IF($B173="","",I173-J173)</f>
        <v/>
      </c>
      <c r="L173" s="13">
        <f>IF($B173="","",IFERROR(K173/G173,0))</f>
        <v/>
      </c>
    </row>
    <row r="174">
      <c r="A174" s="9" t="n"/>
      <c r="B174" s="10" t="n"/>
      <c r="C174" s="11" t="n"/>
      <c r="D174" s="10" t="n"/>
      <c r="E174" s="11" t="n"/>
      <c r="F174" s="11" t="n"/>
      <c r="G174" s="12">
        <f>IF($B174="","",C174*D174)</f>
        <v/>
      </c>
      <c r="H174" s="12">
        <f>IF($B174="","",G174*(설정!$B$2+설정!$B$3))</f>
        <v/>
      </c>
      <c r="I174" s="12">
        <f>IF($B174="","",G174-H174)</f>
        <v/>
      </c>
      <c r="J174" s="12">
        <f>IF($B174="","",E174*D174+F174)</f>
        <v/>
      </c>
      <c r="K174" s="12">
        <f>IF($B174="","",I174-J174)</f>
        <v/>
      </c>
      <c r="L174" s="13">
        <f>IF($B174="","",IFERROR(K174/G174,0))</f>
        <v/>
      </c>
    </row>
    <row r="175">
      <c r="A175" s="9" t="n"/>
      <c r="B175" s="10" t="n"/>
      <c r="C175" s="11" t="n"/>
      <c r="D175" s="10" t="n"/>
      <c r="E175" s="11" t="n"/>
      <c r="F175" s="11" t="n"/>
      <c r="G175" s="12">
        <f>IF($B175="","",C175*D175)</f>
        <v/>
      </c>
      <c r="H175" s="12">
        <f>IF($B175="","",G175*(설정!$B$2+설정!$B$3))</f>
        <v/>
      </c>
      <c r="I175" s="12">
        <f>IF($B175="","",G175-H175)</f>
        <v/>
      </c>
      <c r="J175" s="12">
        <f>IF($B175="","",E175*D175+F175)</f>
        <v/>
      </c>
      <c r="K175" s="12">
        <f>IF($B175="","",I175-J175)</f>
        <v/>
      </c>
      <c r="L175" s="13">
        <f>IF($B175="","",IFERROR(K175/G175,0))</f>
        <v/>
      </c>
    </row>
    <row r="176">
      <c r="A176" s="9" t="n"/>
      <c r="B176" s="10" t="n"/>
      <c r="C176" s="11" t="n"/>
      <c r="D176" s="10" t="n"/>
      <c r="E176" s="11" t="n"/>
      <c r="F176" s="11" t="n"/>
      <c r="G176" s="12">
        <f>IF($B176="","",C176*D176)</f>
        <v/>
      </c>
      <c r="H176" s="12">
        <f>IF($B176="","",G176*(설정!$B$2+설정!$B$3))</f>
        <v/>
      </c>
      <c r="I176" s="12">
        <f>IF($B176="","",G176-H176)</f>
        <v/>
      </c>
      <c r="J176" s="12">
        <f>IF($B176="","",E176*D176+F176)</f>
        <v/>
      </c>
      <c r="K176" s="12">
        <f>IF($B176="","",I176-J176)</f>
        <v/>
      </c>
      <c r="L176" s="13">
        <f>IF($B176="","",IFERROR(K176/G176,0))</f>
        <v/>
      </c>
    </row>
    <row r="177">
      <c r="A177" s="9" t="n"/>
      <c r="B177" s="10" t="n"/>
      <c r="C177" s="11" t="n"/>
      <c r="D177" s="10" t="n"/>
      <c r="E177" s="11" t="n"/>
      <c r="F177" s="11" t="n"/>
      <c r="G177" s="12">
        <f>IF($B177="","",C177*D177)</f>
        <v/>
      </c>
      <c r="H177" s="12">
        <f>IF($B177="","",G177*(설정!$B$2+설정!$B$3))</f>
        <v/>
      </c>
      <c r="I177" s="12">
        <f>IF($B177="","",G177-H177)</f>
        <v/>
      </c>
      <c r="J177" s="12">
        <f>IF($B177="","",E177*D177+F177)</f>
        <v/>
      </c>
      <c r="K177" s="12">
        <f>IF($B177="","",I177-J177)</f>
        <v/>
      </c>
      <c r="L177" s="13">
        <f>IF($B177="","",IFERROR(K177/G177,0))</f>
        <v/>
      </c>
    </row>
    <row r="178">
      <c r="A178" s="9" t="n"/>
      <c r="B178" s="10" t="n"/>
      <c r="C178" s="11" t="n"/>
      <c r="D178" s="10" t="n"/>
      <c r="E178" s="11" t="n"/>
      <c r="F178" s="11" t="n"/>
      <c r="G178" s="12">
        <f>IF($B178="","",C178*D178)</f>
        <v/>
      </c>
      <c r="H178" s="12">
        <f>IF($B178="","",G178*(설정!$B$2+설정!$B$3))</f>
        <v/>
      </c>
      <c r="I178" s="12">
        <f>IF($B178="","",G178-H178)</f>
        <v/>
      </c>
      <c r="J178" s="12">
        <f>IF($B178="","",E178*D178+F178)</f>
        <v/>
      </c>
      <c r="K178" s="12">
        <f>IF($B178="","",I178-J178)</f>
        <v/>
      </c>
      <c r="L178" s="13">
        <f>IF($B178="","",IFERROR(K178/G178,0))</f>
        <v/>
      </c>
    </row>
    <row r="179">
      <c r="A179" s="9" t="n"/>
      <c r="B179" s="10" t="n"/>
      <c r="C179" s="11" t="n"/>
      <c r="D179" s="10" t="n"/>
      <c r="E179" s="11" t="n"/>
      <c r="F179" s="11" t="n"/>
      <c r="G179" s="12">
        <f>IF($B179="","",C179*D179)</f>
        <v/>
      </c>
      <c r="H179" s="12">
        <f>IF($B179="","",G179*(설정!$B$2+설정!$B$3))</f>
        <v/>
      </c>
      <c r="I179" s="12">
        <f>IF($B179="","",G179-H179)</f>
        <v/>
      </c>
      <c r="J179" s="12">
        <f>IF($B179="","",E179*D179+F179)</f>
        <v/>
      </c>
      <c r="K179" s="12">
        <f>IF($B179="","",I179-J179)</f>
        <v/>
      </c>
      <c r="L179" s="13">
        <f>IF($B179="","",IFERROR(K179/G179,0))</f>
        <v/>
      </c>
    </row>
    <row r="180">
      <c r="A180" s="9" t="n"/>
      <c r="B180" s="10" t="n"/>
      <c r="C180" s="11" t="n"/>
      <c r="D180" s="10" t="n"/>
      <c r="E180" s="11" t="n"/>
      <c r="F180" s="11" t="n"/>
      <c r="G180" s="12">
        <f>IF($B180="","",C180*D180)</f>
        <v/>
      </c>
      <c r="H180" s="12">
        <f>IF($B180="","",G180*(설정!$B$2+설정!$B$3))</f>
        <v/>
      </c>
      <c r="I180" s="12">
        <f>IF($B180="","",G180-H180)</f>
        <v/>
      </c>
      <c r="J180" s="12">
        <f>IF($B180="","",E180*D180+F180)</f>
        <v/>
      </c>
      <c r="K180" s="12">
        <f>IF($B180="","",I180-J180)</f>
        <v/>
      </c>
      <c r="L180" s="13">
        <f>IF($B180="","",IFERROR(K180/G180,0))</f>
        <v/>
      </c>
    </row>
    <row r="181">
      <c r="A181" s="9" t="n"/>
      <c r="B181" s="10" t="n"/>
      <c r="C181" s="11" t="n"/>
      <c r="D181" s="10" t="n"/>
      <c r="E181" s="11" t="n"/>
      <c r="F181" s="11" t="n"/>
      <c r="G181" s="12">
        <f>IF($B181="","",C181*D181)</f>
        <v/>
      </c>
      <c r="H181" s="12">
        <f>IF($B181="","",G181*(설정!$B$2+설정!$B$3))</f>
        <v/>
      </c>
      <c r="I181" s="12">
        <f>IF($B181="","",G181-H181)</f>
        <v/>
      </c>
      <c r="J181" s="12">
        <f>IF($B181="","",E181*D181+F181)</f>
        <v/>
      </c>
      <c r="K181" s="12">
        <f>IF($B181="","",I181-J181)</f>
        <v/>
      </c>
      <c r="L181" s="13">
        <f>IF($B181="","",IFERROR(K181/G181,0))</f>
        <v/>
      </c>
    </row>
    <row r="182">
      <c r="A182" s="9" t="n"/>
      <c r="B182" s="10" t="n"/>
      <c r="C182" s="11" t="n"/>
      <c r="D182" s="10" t="n"/>
      <c r="E182" s="11" t="n"/>
      <c r="F182" s="11" t="n"/>
      <c r="G182" s="12">
        <f>IF($B182="","",C182*D182)</f>
        <v/>
      </c>
      <c r="H182" s="12">
        <f>IF($B182="","",G182*(설정!$B$2+설정!$B$3))</f>
        <v/>
      </c>
      <c r="I182" s="12">
        <f>IF($B182="","",G182-H182)</f>
        <v/>
      </c>
      <c r="J182" s="12">
        <f>IF($B182="","",E182*D182+F182)</f>
        <v/>
      </c>
      <c r="K182" s="12">
        <f>IF($B182="","",I182-J182)</f>
        <v/>
      </c>
      <c r="L182" s="13">
        <f>IF($B182="","",IFERROR(K182/G182,0))</f>
        <v/>
      </c>
    </row>
    <row r="183">
      <c r="A183" s="9" t="n"/>
      <c r="B183" s="10" t="n"/>
      <c r="C183" s="11" t="n"/>
      <c r="D183" s="10" t="n"/>
      <c r="E183" s="11" t="n"/>
      <c r="F183" s="11" t="n"/>
      <c r="G183" s="12">
        <f>IF($B183="","",C183*D183)</f>
        <v/>
      </c>
      <c r="H183" s="12">
        <f>IF($B183="","",G183*(설정!$B$2+설정!$B$3))</f>
        <v/>
      </c>
      <c r="I183" s="12">
        <f>IF($B183="","",G183-H183)</f>
        <v/>
      </c>
      <c r="J183" s="12">
        <f>IF($B183="","",E183*D183+F183)</f>
        <v/>
      </c>
      <c r="K183" s="12">
        <f>IF($B183="","",I183-J183)</f>
        <v/>
      </c>
      <c r="L183" s="13">
        <f>IF($B183="","",IFERROR(K183/G183,0))</f>
        <v/>
      </c>
    </row>
    <row r="184">
      <c r="A184" s="9" t="n"/>
      <c r="B184" s="10" t="n"/>
      <c r="C184" s="11" t="n"/>
      <c r="D184" s="10" t="n"/>
      <c r="E184" s="11" t="n"/>
      <c r="F184" s="11" t="n"/>
      <c r="G184" s="12">
        <f>IF($B184="","",C184*D184)</f>
        <v/>
      </c>
      <c r="H184" s="12">
        <f>IF($B184="","",G184*(설정!$B$2+설정!$B$3))</f>
        <v/>
      </c>
      <c r="I184" s="12">
        <f>IF($B184="","",G184-H184)</f>
        <v/>
      </c>
      <c r="J184" s="12">
        <f>IF($B184="","",E184*D184+F184)</f>
        <v/>
      </c>
      <c r="K184" s="12">
        <f>IF($B184="","",I184-J184)</f>
        <v/>
      </c>
      <c r="L184" s="13">
        <f>IF($B184="","",IFERROR(K184/G184,0))</f>
        <v/>
      </c>
    </row>
    <row r="185">
      <c r="A185" s="9" t="n"/>
      <c r="B185" s="10" t="n"/>
      <c r="C185" s="11" t="n"/>
      <c r="D185" s="10" t="n"/>
      <c r="E185" s="11" t="n"/>
      <c r="F185" s="11" t="n"/>
      <c r="G185" s="12">
        <f>IF($B185="","",C185*D185)</f>
        <v/>
      </c>
      <c r="H185" s="12">
        <f>IF($B185="","",G185*(설정!$B$2+설정!$B$3))</f>
        <v/>
      </c>
      <c r="I185" s="12">
        <f>IF($B185="","",G185-H185)</f>
        <v/>
      </c>
      <c r="J185" s="12">
        <f>IF($B185="","",E185*D185+F185)</f>
        <v/>
      </c>
      <c r="K185" s="12">
        <f>IF($B185="","",I185-J185)</f>
        <v/>
      </c>
      <c r="L185" s="13">
        <f>IF($B185="","",IFERROR(K185/G185,0))</f>
        <v/>
      </c>
    </row>
    <row r="186">
      <c r="A186" s="9" t="n"/>
      <c r="B186" s="10" t="n"/>
      <c r="C186" s="11" t="n"/>
      <c r="D186" s="10" t="n"/>
      <c r="E186" s="11" t="n"/>
      <c r="F186" s="11" t="n"/>
      <c r="G186" s="12">
        <f>IF($B186="","",C186*D186)</f>
        <v/>
      </c>
      <c r="H186" s="12">
        <f>IF($B186="","",G186*(설정!$B$2+설정!$B$3))</f>
        <v/>
      </c>
      <c r="I186" s="12">
        <f>IF($B186="","",G186-H186)</f>
        <v/>
      </c>
      <c r="J186" s="12">
        <f>IF($B186="","",E186*D186+F186)</f>
        <v/>
      </c>
      <c r="K186" s="12">
        <f>IF($B186="","",I186-J186)</f>
        <v/>
      </c>
      <c r="L186" s="13">
        <f>IF($B186="","",IFERROR(K186/G186,0))</f>
        <v/>
      </c>
    </row>
    <row r="187">
      <c r="A187" s="9" t="n"/>
      <c r="B187" s="10" t="n"/>
      <c r="C187" s="11" t="n"/>
      <c r="D187" s="10" t="n"/>
      <c r="E187" s="11" t="n"/>
      <c r="F187" s="11" t="n"/>
      <c r="G187" s="12">
        <f>IF($B187="","",C187*D187)</f>
        <v/>
      </c>
      <c r="H187" s="12">
        <f>IF($B187="","",G187*(설정!$B$2+설정!$B$3))</f>
        <v/>
      </c>
      <c r="I187" s="12">
        <f>IF($B187="","",G187-H187)</f>
        <v/>
      </c>
      <c r="J187" s="12">
        <f>IF($B187="","",E187*D187+F187)</f>
        <v/>
      </c>
      <c r="K187" s="12">
        <f>IF($B187="","",I187-J187)</f>
        <v/>
      </c>
      <c r="L187" s="13">
        <f>IF($B187="","",IFERROR(K187/G187,0))</f>
        <v/>
      </c>
    </row>
    <row r="188">
      <c r="A188" s="9" t="n"/>
      <c r="B188" s="10" t="n"/>
      <c r="C188" s="11" t="n"/>
      <c r="D188" s="10" t="n"/>
      <c r="E188" s="11" t="n"/>
      <c r="F188" s="11" t="n"/>
      <c r="G188" s="12">
        <f>IF($B188="","",C188*D188)</f>
        <v/>
      </c>
      <c r="H188" s="12">
        <f>IF($B188="","",G188*(설정!$B$2+설정!$B$3))</f>
        <v/>
      </c>
      <c r="I188" s="12">
        <f>IF($B188="","",G188-H188)</f>
        <v/>
      </c>
      <c r="J188" s="12">
        <f>IF($B188="","",E188*D188+F188)</f>
        <v/>
      </c>
      <c r="K188" s="12">
        <f>IF($B188="","",I188-J188)</f>
        <v/>
      </c>
      <c r="L188" s="13">
        <f>IF($B188="","",IFERROR(K188/G188,0))</f>
        <v/>
      </c>
    </row>
    <row r="189">
      <c r="A189" s="9" t="n"/>
      <c r="B189" s="10" t="n"/>
      <c r="C189" s="11" t="n"/>
      <c r="D189" s="10" t="n"/>
      <c r="E189" s="11" t="n"/>
      <c r="F189" s="11" t="n"/>
      <c r="G189" s="12">
        <f>IF($B189="","",C189*D189)</f>
        <v/>
      </c>
      <c r="H189" s="12">
        <f>IF($B189="","",G189*(설정!$B$2+설정!$B$3))</f>
        <v/>
      </c>
      <c r="I189" s="12">
        <f>IF($B189="","",G189-H189)</f>
        <v/>
      </c>
      <c r="J189" s="12">
        <f>IF($B189="","",E189*D189+F189)</f>
        <v/>
      </c>
      <c r="K189" s="12">
        <f>IF($B189="","",I189-J189)</f>
        <v/>
      </c>
      <c r="L189" s="13">
        <f>IF($B189="","",IFERROR(K189/G189,0))</f>
        <v/>
      </c>
    </row>
    <row r="190">
      <c r="A190" s="9" t="n"/>
      <c r="B190" s="10" t="n"/>
      <c r="C190" s="11" t="n"/>
      <c r="D190" s="10" t="n"/>
      <c r="E190" s="11" t="n"/>
      <c r="F190" s="11" t="n"/>
      <c r="G190" s="12">
        <f>IF($B190="","",C190*D190)</f>
        <v/>
      </c>
      <c r="H190" s="12">
        <f>IF($B190="","",G190*(설정!$B$2+설정!$B$3))</f>
        <v/>
      </c>
      <c r="I190" s="12">
        <f>IF($B190="","",G190-H190)</f>
        <v/>
      </c>
      <c r="J190" s="12">
        <f>IF($B190="","",E190*D190+F190)</f>
        <v/>
      </c>
      <c r="K190" s="12">
        <f>IF($B190="","",I190-J190)</f>
        <v/>
      </c>
      <c r="L190" s="13">
        <f>IF($B190="","",IFERROR(K190/G190,0))</f>
        <v/>
      </c>
    </row>
    <row r="191">
      <c r="A191" s="9" t="n"/>
      <c r="B191" s="10" t="n"/>
      <c r="C191" s="11" t="n"/>
      <c r="D191" s="10" t="n"/>
      <c r="E191" s="11" t="n"/>
      <c r="F191" s="11" t="n"/>
      <c r="G191" s="12">
        <f>IF($B191="","",C191*D191)</f>
        <v/>
      </c>
      <c r="H191" s="12">
        <f>IF($B191="","",G191*(설정!$B$2+설정!$B$3))</f>
        <v/>
      </c>
      <c r="I191" s="12">
        <f>IF($B191="","",G191-H191)</f>
        <v/>
      </c>
      <c r="J191" s="12">
        <f>IF($B191="","",E191*D191+F191)</f>
        <v/>
      </c>
      <c r="K191" s="12">
        <f>IF($B191="","",I191-J191)</f>
        <v/>
      </c>
      <c r="L191" s="13">
        <f>IF($B191="","",IFERROR(K191/G191,0))</f>
        <v/>
      </c>
    </row>
    <row r="192">
      <c r="A192" s="9" t="n"/>
      <c r="B192" s="10" t="n"/>
      <c r="C192" s="11" t="n"/>
      <c r="D192" s="10" t="n"/>
      <c r="E192" s="11" t="n"/>
      <c r="F192" s="11" t="n"/>
      <c r="G192" s="12">
        <f>IF($B192="","",C192*D192)</f>
        <v/>
      </c>
      <c r="H192" s="12">
        <f>IF($B192="","",G192*(설정!$B$2+설정!$B$3))</f>
        <v/>
      </c>
      <c r="I192" s="12">
        <f>IF($B192="","",G192-H192)</f>
        <v/>
      </c>
      <c r="J192" s="12">
        <f>IF($B192="","",E192*D192+F192)</f>
        <v/>
      </c>
      <c r="K192" s="12">
        <f>IF($B192="","",I192-J192)</f>
        <v/>
      </c>
      <c r="L192" s="13">
        <f>IF($B192="","",IFERROR(K192/G192,0))</f>
        <v/>
      </c>
    </row>
    <row r="193">
      <c r="A193" s="9" t="n"/>
      <c r="B193" s="10" t="n"/>
      <c r="C193" s="11" t="n"/>
      <c r="D193" s="10" t="n"/>
      <c r="E193" s="11" t="n"/>
      <c r="F193" s="11" t="n"/>
      <c r="G193" s="12">
        <f>IF($B193="","",C193*D193)</f>
        <v/>
      </c>
      <c r="H193" s="12">
        <f>IF($B193="","",G193*(설정!$B$2+설정!$B$3))</f>
        <v/>
      </c>
      <c r="I193" s="12">
        <f>IF($B193="","",G193-H193)</f>
        <v/>
      </c>
      <c r="J193" s="12">
        <f>IF($B193="","",E193*D193+F193)</f>
        <v/>
      </c>
      <c r="K193" s="12">
        <f>IF($B193="","",I193-J193)</f>
        <v/>
      </c>
      <c r="L193" s="13">
        <f>IF($B193="","",IFERROR(K193/G193,0))</f>
        <v/>
      </c>
    </row>
    <row r="194">
      <c r="A194" s="9" t="n"/>
      <c r="B194" s="10" t="n"/>
      <c r="C194" s="11" t="n"/>
      <c r="D194" s="10" t="n"/>
      <c r="E194" s="11" t="n"/>
      <c r="F194" s="11" t="n"/>
      <c r="G194" s="12">
        <f>IF($B194="","",C194*D194)</f>
        <v/>
      </c>
      <c r="H194" s="12">
        <f>IF($B194="","",G194*(설정!$B$2+설정!$B$3))</f>
        <v/>
      </c>
      <c r="I194" s="12">
        <f>IF($B194="","",G194-H194)</f>
        <v/>
      </c>
      <c r="J194" s="12">
        <f>IF($B194="","",E194*D194+F194)</f>
        <v/>
      </c>
      <c r="K194" s="12">
        <f>IF($B194="","",I194-J194)</f>
        <v/>
      </c>
      <c r="L194" s="13">
        <f>IF($B194="","",IFERROR(K194/G194,0))</f>
        <v/>
      </c>
    </row>
    <row r="195">
      <c r="A195" s="9" t="n"/>
      <c r="B195" s="10" t="n"/>
      <c r="C195" s="11" t="n"/>
      <c r="D195" s="10" t="n"/>
      <c r="E195" s="11" t="n"/>
      <c r="F195" s="11" t="n"/>
      <c r="G195" s="12">
        <f>IF($B195="","",C195*D195)</f>
        <v/>
      </c>
      <c r="H195" s="12">
        <f>IF($B195="","",G195*(설정!$B$2+설정!$B$3))</f>
        <v/>
      </c>
      <c r="I195" s="12">
        <f>IF($B195="","",G195-H195)</f>
        <v/>
      </c>
      <c r="J195" s="12">
        <f>IF($B195="","",E195*D195+F195)</f>
        <v/>
      </c>
      <c r="K195" s="12">
        <f>IF($B195="","",I195-J195)</f>
        <v/>
      </c>
      <c r="L195" s="13">
        <f>IF($B195="","",IFERROR(K195/G195,0))</f>
        <v/>
      </c>
    </row>
    <row r="196">
      <c r="A196" s="9" t="n"/>
      <c r="B196" s="10" t="n"/>
      <c r="C196" s="11" t="n"/>
      <c r="D196" s="10" t="n"/>
      <c r="E196" s="11" t="n"/>
      <c r="F196" s="11" t="n"/>
      <c r="G196" s="12">
        <f>IF($B196="","",C196*D196)</f>
        <v/>
      </c>
      <c r="H196" s="12">
        <f>IF($B196="","",G196*(설정!$B$2+설정!$B$3))</f>
        <v/>
      </c>
      <c r="I196" s="12">
        <f>IF($B196="","",G196-H196)</f>
        <v/>
      </c>
      <c r="J196" s="12">
        <f>IF($B196="","",E196*D196+F196)</f>
        <v/>
      </c>
      <c r="K196" s="12">
        <f>IF($B196="","",I196-J196)</f>
        <v/>
      </c>
      <c r="L196" s="13">
        <f>IF($B196="","",IFERROR(K196/G196,0))</f>
        <v/>
      </c>
    </row>
    <row r="197">
      <c r="A197" s="9" t="n"/>
      <c r="B197" s="10" t="n"/>
      <c r="C197" s="11" t="n"/>
      <c r="D197" s="10" t="n"/>
      <c r="E197" s="11" t="n"/>
      <c r="F197" s="11" t="n"/>
      <c r="G197" s="12">
        <f>IF($B197="","",C197*D197)</f>
        <v/>
      </c>
      <c r="H197" s="12">
        <f>IF($B197="","",G197*(설정!$B$2+설정!$B$3))</f>
        <v/>
      </c>
      <c r="I197" s="12">
        <f>IF($B197="","",G197-H197)</f>
        <v/>
      </c>
      <c r="J197" s="12">
        <f>IF($B197="","",E197*D197+F197)</f>
        <v/>
      </c>
      <c r="K197" s="12">
        <f>IF($B197="","",I197-J197)</f>
        <v/>
      </c>
      <c r="L197" s="13">
        <f>IF($B197="","",IFERROR(K197/G197,0))</f>
        <v/>
      </c>
    </row>
    <row r="198">
      <c r="A198" s="9" t="n"/>
      <c r="B198" s="10" t="n"/>
      <c r="C198" s="11" t="n"/>
      <c r="D198" s="10" t="n"/>
      <c r="E198" s="11" t="n"/>
      <c r="F198" s="11" t="n"/>
      <c r="G198" s="12">
        <f>IF($B198="","",C198*D198)</f>
        <v/>
      </c>
      <c r="H198" s="12">
        <f>IF($B198="","",G198*(설정!$B$2+설정!$B$3))</f>
        <v/>
      </c>
      <c r="I198" s="12">
        <f>IF($B198="","",G198-H198)</f>
        <v/>
      </c>
      <c r="J198" s="12">
        <f>IF($B198="","",E198*D198+F198)</f>
        <v/>
      </c>
      <c r="K198" s="12">
        <f>IF($B198="","",I198-J198)</f>
        <v/>
      </c>
      <c r="L198" s="13">
        <f>IF($B198="","",IFERROR(K198/G198,0))</f>
        <v/>
      </c>
    </row>
    <row r="199">
      <c r="A199" s="9" t="n"/>
      <c r="B199" s="10" t="n"/>
      <c r="C199" s="11" t="n"/>
      <c r="D199" s="10" t="n"/>
      <c r="E199" s="11" t="n"/>
      <c r="F199" s="11" t="n"/>
      <c r="G199" s="12">
        <f>IF($B199="","",C199*D199)</f>
        <v/>
      </c>
      <c r="H199" s="12">
        <f>IF($B199="","",G199*(설정!$B$2+설정!$B$3))</f>
        <v/>
      </c>
      <c r="I199" s="12">
        <f>IF($B199="","",G199-H199)</f>
        <v/>
      </c>
      <c r="J199" s="12">
        <f>IF($B199="","",E199*D199+F199)</f>
        <v/>
      </c>
      <c r="K199" s="12">
        <f>IF($B199="","",I199-J199)</f>
        <v/>
      </c>
      <c r="L199" s="13">
        <f>IF($B199="","",IFERROR(K199/G199,0))</f>
        <v/>
      </c>
    </row>
    <row r="200">
      <c r="A200" s="9" t="n"/>
      <c r="B200" s="10" t="n"/>
      <c r="C200" s="11" t="n"/>
      <c r="D200" s="10" t="n"/>
      <c r="E200" s="11" t="n"/>
      <c r="F200" s="11" t="n"/>
      <c r="G200" s="12">
        <f>IF($B200="","",C200*D200)</f>
        <v/>
      </c>
      <c r="H200" s="12">
        <f>IF($B200="","",G200*(설정!$B$2+설정!$B$3))</f>
        <v/>
      </c>
      <c r="I200" s="12">
        <f>IF($B200="","",G200-H200)</f>
        <v/>
      </c>
      <c r="J200" s="12">
        <f>IF($B200="","",E200*D200+F200)</f>
        <v/>
      </c>
      <c r="K200" s="12">
        <f>IF($B200="","",I200-J200)</f>
        <v/>
      </c>
      <c r="L200" s="13">
        <f>IF($B200="","",IFERROR(K200/G200,0))</f>
        <v/>
      </c>
    </row>
    <row r="201">
      <c r="A201" s="9" t="n"/>
      <c r="B201" s="10" t="n"/>
      <c r="C201" s="11" t="n"/>
      <c r="D201" s="10" t="n"/>
      <c r="E201" s="11" t="n"/>
      <c r="F201" s="11" t="n"/>
      <c r="G201" s="12">
        <f>IF($B201="","",C201*D201)</f>
        <v/>
      </c>
      <c r="H201" s="12">
        <f>IF($B201="","",G201*(설정!$B$2+설정!$B$3))</f>
        <v/>
      </c>
      <c r="I201" s="12">
        <f>IF($B201="","",G201-H201)</f>
        <v/>
      </c>
      <c r="J201" s="12">
        <f>IF($B201="","",E201*D201+F201)</f>
        <v/>
      </c>
      <c r="K201" s="12">
        <f>IF($B201="","",I201-J201)</f>
        <v/>
      </c>
      <c r="L201" s="13">
        <f>IF($B201="","",IFERROR(K201/G201,0))</f>
        <v/>
      </c>
    </row>
    <row r="202">
      <c r="A202" s="9" t="n"/>
      <c r="B202" s="10" t="n"/>
      <c r="C202" s="11" t="n"/>
      <c r="D202" s="10" t="n"/>
      <c r="E202" s="11" t="n"/>
      <c r="F202" s="11" t="n"/>
      <c r="G202" s="12">
        <f>IF($B202="","",C202*D202)</f>
        <v/>
      </c>
      <c r="H202" s="12">
        <f>IF($B202="","",G202*(설정!$B$2+설정!$B$3))</f>
        <v/>
      </c>
      <c r="I202" s="12">
        <f>IF($B202="","",G202-H202)</f>
        <v/>
      </c>
      <c r="J202" s="12">
        <f>IF($B202="","",E202*D202+F202)</f>
        <v/>
      </c>
      <c r="K202" s="12">
        <f>IF($B202="","",I202-J202)</f>
        <v/>
      </c>
      <c r="L202" s="13">
        <f>IF($B202="","",IFERROR(K202/G202,0))</f>
        <v/>
      </c>
    </row>
    <row r="203">
      <c r="A203" s="9" t="n"/>
      <c r="B203" s="10" t="n"/>
      <c r="C203" s="11" t="n"/>
      <c r="D203" s="10" t="n"/>
      <c r="E203" s="11" t="n"/>
      <c r="F203" s="11" t="n"/>
      <c r="G203" s="12">
        <f>IF($B203="","",C203*D203)</f>
        <v/>
      </c>
      <c r="H203" s="12">
        <f>IF($B203="","",G203*(설정!$B$2+설정!$B$3))</f>
        <v/>
      </c>
      <c r="I203" s="12">
        <f>IF($B203="","",G203-H203)</f>
        <v/>
      </c>
      <c r="J203" s="12">
        <f>IF($B203="","",E203*D203+F203)</f>
        <v/>
      </c>
      <c r="K203" s="12">
        <f>IF($B203="","",I203-J203)</f>
        <v/>
      </c>
      <c r="L203" s="13">
        <f>IF($B203="","",IFERROR(K203/G203,0))</f>
        <v/>
      </c>
    </row>
    <row r="204">
      <c r="A204" s="9" t="n"/>
      <c r="B204" s="10" t="n"/>
      <c r="C204" s="11" t="n"/>
      <c r="D204" s="10" t="n"/>
      <c r="E204" s="11" t="n"/>
      <c r="F204" s="11" t="n"/>
      <c r="G204" s="12">
        <f>IF($B204="","",C204*D204)</f>
        <v/>
      </c>
      <c r="H204" s="12">
        <f>IF($B204="","",G204*(설정!$B$2+설정!$B$3))</f>
        <v/>
      </c>
      <c r="I204" s="12">
        <f>IF($B204="","",G204-H204)</f>
        <v/>
      </c>
      <c r="J204" s="12">
        <f>IF($B204="","",E204*D204+F204)</f>
        <v/>
      </c>
      <c r="K204" s="12">
        <f>IF($B204="","",I204-J204)</f>
        <v/>
      </c>
      <c r="L204" s="13">
        <f>IF($B204="","",IFERROR(K204/G204,0))</f>
        <v/>
      </c>
    </row>
    <row r="205">
      <c r="A205" s="9" t="n"/>
      <c r="B205" s="10" t="n"/>
      <c r="C205" s="11" t="n"/>
      <c r="D205" s="10" t="n"/>
      <c r="E205" s="11" t="n"/>
      <c r="F205" s="11" t="n"/>
      <c r="G205" s="12">
        <f>IF($B205="","",C205*D205)</f>
        <v/>
      </c>
      <c r="H205" s="12">
        <f>IF($B205="","",G205*(설정!$B$2+설정!$B$3))</f>
        <v/>
      </c>
      <c r="I205" s="12">
        <f>IF($B205="","",G205-H205)</f>
        <v/>
      </c>
      <c r="J205" s="12">
        <f>IF($B205="","",E205*D205+F205)</f>
        <v/>
      </c>
      <c r="K205" s="12">
        <f>IF($B205="","",I205-J205)</f>
        <v/>
      </c>
      <c r="L205" s="13">
        <f>IF($B205="","",IFERROR(K205/G205,0))</f>
        <v/>
      </c>
    </row>
    <row r="206">
      <c r="A206" s="9" t="n"/>
      <c r="B206" s="10" t="n"/>
      <c r="C206" s="11" t="n"/>
      <c r="D206" s="10" t="n"/>
      <c r="E206" s="11" t="n"/>
      <c r="F206" s="11" t="n"/>
      <c r="G206" s="12">
        <f>IF($B206="","",C206*D206)</f>
        <v/>
      </c>
      <c r="H206" s="12">
        <f>IF($B206="","",G206*(설정!$B$2+설정!$B$3))</f>
        <v/>
      </c>
      <c r="I206" s="12">
        <f>IF($B206="","",G206-H206)</f>
        <v/>
      </c>
      <c r="J206" s="12">
        <f>IF($B206="","",E206*D206+F206)</f>
        <v/>
      </c>
      <c r="K206" s="12">
        <f>IF($B206="","",I206-J206)</f>
        <v/>
      </c>
      <c r="L206" s="13">
        <f>IF($B206="","",IFERROR(K206/G206,0))</f>
        <v/>
      </c>
    </row>
    <row r="207">
      <c r="A207" s="9" t="n"/>
      <c r="B207" s="10" t="n"/>
      <c r="C207" s="11" t="n"/>
      <c r="D207" s="10" t="n"/>
      <c r="E207" s="11" t="n"/>
      <c r="F207" s="11" t="n"/>
      <c r="G207" s="12">
        <f>IF($B207="","",C207*D207)</f>
        <v/>
      </c>
      <c r="H207" s="12">
        <f>IF($B207="","",G207*(설정!$B$2+설정!$B$3))</f>
        <v/>
      </c>
      <c r="I207" s="12">
        <f>IF($B207="","",G207-H207)</f>
        <v/>
      </c>
      <c r="J207" s="12">
        <f>IF($B207="","",E207*D207+F207)</f>
        <v/>
      </c>
      <c r="K207" s="12">
        <f>IF($B207="","",I207-J207)</f>
        <v/>
      </c>
      <c r="L207" s="13">
        <f>IF($B207="","",IFERROR(K207/G207,0))</f>
        <v/>
      </c>
    </row>
    <row r="208">
      <c r="A208" s="9" t="n"/>
      <c r="B208" s="10" t="n"/>
      <c r="C208" s="11" t="n"/>
      <c r="D208" s="10" t="n"/>
      <c r="E208" s="11" t="n"/>
      <c r="F208" s="11" t="n"/>
      <c r="G208" s="12">
        <f>IF($B208="","",C208*D208)</f>
        <v/>
      </c>
      <c r="H208" s="12">
        <f>IF($B208="","",G208*(설정!$B$2+설정!$B$3))</f>
        <v/>
      </c>
      <c r="I208" s="12">
        <f>IF($B208="","",G208-H208)</f>
        <v/>
      </c>
      <c r="J208" s="12">
        <f>IF($B208="","",E208*D208+F208)</f>
        <v/>
      </c>
      <c r="K208" s="12">
        <f>IF($B208="","",I208-J208)</f>
        <v/>
      </c>
      <c r="L208" s="13">
        <f>IF($B208="","",IFERROR(K208/G208,0))</f>
        <v/>
      </c>
    </row>
    <row r="209">
      <c r="A209" s="9" t="n"/>
      <c r="B209" s="10" t="n"/>
      <c r="C209" s="11" t="n"/>
      <c r="D209" s="10" t="n"/>
      <c r="E209" s="11" t="n"/>
      <c r="F209" s="11" t="n"/>
      <c r="G209" s="12">
        <f>IF($B209="","",C209*D209)</f>
        <v/>
      </c>
      <c r="H209" s="12">
        <f>IF($B209="","",G209*(설정!$B$2+설정!$B$3))</f>
        <v/>
      </c>
      <c r="I209" s="12">
        <f>IF($B209="","",G209-H209)</f>
        <v/>
      </c>
      <c r="J209" s="12">
        <f>IF($B209="","",E209*D209+F209)</f>
        <v/>
      </c>
      <c r="K209" s="12">
        <f>IF($B209="","",I209-J209)</f>
        <v/>
      </c>
      <c r="L209" s="13">
        <f>IF($B209="","",IFERROR(K209/G209,0))</f>
        <v/>
      </c>
    </row>
    <row r="210">
      <c r="A210" s="9" t="n"/>
      <c r="B210" s="10" t="n"/>
      <c r="C210" s="11" t="n"/>
      <c r="D210" s="10" t="n"/>
      <c r="E210" s="11" t="n"/>
      <c r="F210" s="11" t="n"/>
      <c r="G210" s="12">
        <f>IF($B210="","",C210*D210)</f>
        <v/>
      </c>
      <c r="H210" s="12">
        <f>IF($B210="","",G210*(설정!$B$2+설정!$B$3))</f>
        <v/>
      </c>
      <c r="I210" s="12">
        <f>IF($B210="","",G210-H210)</f>
        <v/>
      </c>
      <c r="J210" s="12">
        <f>IF($B210="","",E210*D210+F210)</f>
        <v/>
      </c>
      <c r="K210" s="12">
        <f>IF($B210="","",I210-J210)</f>
        <v/>
      </c>
      <c r="L210" s="13">
        <f>IF($B210="","",IFERROR(K210/G210,0))</f>
        <v/>
      </c>
    </row>
    <row r="211">
      <c r="A211" s="9" t="n"/>
      <c r="B211" s="10" t="n"/>
      <c r="C211" s="11" t="n"/>
      <c r="D211" s="10" t="n"/>
      <c r="E211" s="11" t="n"/>
      <c r="F211" s="11" t="n"/>
      <c r="G211" s="12">
        <f>IF($B211="","",C211*D211)</f>
        <v/>
      </c>
      <c r="H211" s="12">
        <f>IF($B211="","",G211*(설정!$B$2+설정!$B$3))</f>
        <v/>
      </c>
      <c r="I211" s="12">
        <f>IF($B211="","",G211-H211)</f>
        <v/>
      </c>
      <c r="J211" s="12">
        <f>IF($B211="","",E211*D211+F211)</f>
        <v/>
      </c>
      <c r="K211" s="12">
        <f>IF($B211="","",I211-J211)</f>
        <v/>
      </c>
      <c r="L211" s="13">
        <f>IF($B211="","",IFERROR(K211/G211,0))</f>
        <v/>
      </c>
    </row>
    <row r="212">
      <c r="A212" s="9" t="n"/>
      <c r="B212" s="10" t="n"/>
      <c r="C212" s="11" t="n"/>
      <c r="D212" s="10" t="n"/>
      <c r="E212" s="11" t="n"/>
      <c r="F212" s="11" t="n"/>
      <c r="G212" s="12">
        <f>IF($B212="","",C212*D212)</f>
        <v/>
      </c>
      <c r="H212" s="12">
        <f>IF($B212="","",G212*(설정!$B$2+설정!$B$3))</f>
        <v/>
      </c>
      <c r="I212" s="12">
        <f>IF($B212="","",G212-H212)</f>
        <v/>
      </c>
      <c r="J212" s="12">
        <f>IF($B212="","",E212*D212+F212)</f>
        <v/>
      </c>
      <c r="K212" s="12">
        <f>IF($B212="","",I212-J212)</f>
        <v/>
      </c>
      <c r="L212" s="13">
        <f>IF($B212="","",IFERROR(K212/G212,0))</f>
        <v/>
      </c>
    </row>
    <row r="213">
      <c r="A213" s="9" t="n"/>
      <c r="B213" s="10" t="n"/>
      <c r="C213" s="11" t="n"/>
      <c r="D213" s="10" t="n"/>
      <c r="E213" s="11" t="n"/>
      <c r="F213" s="11" t="n"/>
      <c r="G213" s="12">
        <f>IF($B213="","",C213*D213)</f>
        <v/>
      </c>
      <c r="H213" s="12">
        <f>IF($B213="","",G213*(설정!$B$2+설정!$B$3))</f>
        <v/>
      </c>
      <c r="I213" s="12">
        <f>IF($B213="","",G213-H213)</f>
        <v/>
      </c>
      <c r="J213" s="12">
        <f>IF($B213="","",E213*D213+F213)</f>
        <v/>
      </c>
      <c r="K213" s="12">
        <f>IF($B213="","",I213-J213)</f>
        <v/>
      </c>
      <c r="L213" s="13">
        <f>IF($B213="","",IFERROR(K213/G213,0))</f>
        <v/>
      </c>
    </row>
    <row r="214">
      <c r="A214" s="9" t="n"/>
      <c r="B214" s="10" t="n"/>
      <c r="C214" s="11" t="n"/>
      <c r="D214" s="10" t="n"/>
      <c r="E214" s="11" t="n"/>
      <c r="F214" s="11" t="n"/>
      <c r="G214" s="12">
        <f>IF($B214="","",C214*D214)</f>
        <v/>
      </c>
      <c r="H214" s="12">
        <f>IF($B214="","",G214*(설정!$B$2+설정!$B$3))</f>
        <v/>
      </c>
      <c r="I214" s="12">
        <f>IF($B214="","",G214-H214)</f>
        <v/>
      </c>
      <c r="J214" s="12">
        <f>IF($B214="","",E214*D214+F214)</f>
        <v/>
      </c>
      <c r="K214" s="12">
        <f>IF($B214="","",I214-J214)</f>
        <v/>
      </c>
      <c r="L214" s="13">
        <f>IF($B214="","",IFERROR(K214/G214,0))</f>
        <v/>
      </c>
    </row>
    <row r="215">
      <c r="A215" s="9" t="n"/>
      <c r="B215" s="10" t="n"/>
      <c r="C215" s="11" t="n"/>
      <c r="D215" s="10" t="n"/>
      <c r="E215" s="11" t="n"/>
      <c r="F215" s="11" t="n"/>
      <c r="G215" s="12">
        <f>IF($B215="","",C215*D215)</f>
        <v/>
      </c>
      <c r="H215" s="12">
        <f>IF($B215="","",G215*(설정!$B$2+설정!$B$3))</f>
        <v/>
      </c>
      <c r="I215" s="12">
        <f>IF($B215="","",G215-H215)</f>
        <v/>
      </c>
      <c r="J215" s="12">
        <f>IF($B215="","",E215*D215+F215)</f>
        <v/>
      </c>
      <c r="K215" s="12">
        <f>IF($B215="","",I215-J215)</f>
        <v/>
      </c>
      <c r="L215" s="13">
        <f>IF($B215="","",IFERROR(K215/G215,0))</f>
        <v/>
      </c>
    </row>
    <row r="216">
      <c r="A216" s="9" t="n"/>
      <c r="B216" s="10" t="n"/>
      <c r="C216" s="11" t="n"/>
      <c r="D216" s="10" t="n"/>
      <c r="E216" s="11" t="n"/>
      <c r="F216" s="11" t="n"/>
      <c r="G216" s="12">
        <f>IF($B216="","",C216*D216)</f>
        <v/>
      </c>
      <c r="H216" s="12">
        <f>IF($B216="","",G216*(설정!$B$2+설정!$B$3))</f>
        <v/>
      </c>
      <c r="I216" s="12">
        <f>IF($B216="","",G216-H216)</f>
        <v/>
      </c>
      <c r="J216" s="12">
        <f>IF($B216="","",E216*D216+F216)</f>
        <v/>
      </c>
      <c r="K216" s="12">
        <f>IF($B216="","",I216-J216)</f>
        <v/>
      </c>
      <c r="L216" s="13">
        <f>IF($B216="","",IFERROR(K216/G216,0))</f>
        <v/>
      </c>
    </row>
    <row r="217">
      <c r="A217" s="9" t="n"/>
      <c r="B217" s="10" t="n"/>
      <c r="C217" s="11" t="n"/>
      <c r="D217" s="10" t="n"/>
      <c r="E217" s="11" t="n"/>
      <c r="F217" s="11" t="n"/>
      <c r="G217" s="12">
        <f>IF($B217="","",C217*D217)</f>
        <v/>
      </c>
      <c r="H217" s="12">
        <f>IF($B217="","",G217*(설정!$B$2+설정!$B$3))</f>
        <v/>
      </c>
      <c r="I217" s="12">
        <f>IF($B217="","",G217-H217)</f>
        <v/>
      </c>
      <c r="J217" s="12">
        <f>IF($B217="","",E217*D217+F217)</f>
        <v/>
      </c>
      <c r="K217" s="12">
        <f>IF($B217="","",I217-J217)</f>
        <v/>
      </c>
      <c r="L217" s="13">
        <f>IF($B217="","",IFERROR(K217/G217,0))</f>
        <v/>
      </c>
    </row>
    <row r="218">
      <c r="A218" s="9" t="n"/>
      <c r="B218" s="10" t="n"/>
      <c r="C218" s="11" t="n"/>
      <c r="D218" s="10" t="n"/>
      <c r="E218" s="11" t="n"/>
      <c r="F218" s="11" t="n"/>
      <c r="G218" s="12">
        <f>IF($B218="","",C218*D218)</f>
        <v/>
      </c>
      <c r="H218" s="12">
        <f>IF($B218="","",G218*(설정!$B$2+설정!$B$3))</f>
        <v/>
      </c>
      <c r="I218" s="12">
        <f>IF($B218="","",G218-H218)</f>
        <v/>
      </c>
      <c r="J218" s="12">
        <f>IF($B218="","",E218*D218+F218)</f>
        <v/>
      </c>
      <c r="K218" s="12">
        <f>IF($B218="","",I218-J218)</f>
        <v/>
      </c>
      <c r="L218" s="13">
        <f>IF($B218="","",IFERROR(K218/G218,0))</f>
        <v/>
      </c>
    </row>
    <row r="219">
      <c r="A219" s="9" t="n"/>
      <c r="B219" s="10" t="n"/>
      <c r="C219" s="11" t="n"/>
      <c r="D219" s="10" t="n"/>
      <c r="E219" s="11" t="n"/>
      <c r="F219" s="11" t="n"/>
      <c r="G219" s="12">
        <f>IF($B219="","",C219*D219)</f>
        <v/>
      </c>
      <c r="H219" s="12">
        <f>IF($B219="","",G219*(설정!$B$2+설정!$B$3))</f>
        <v/>
      </c>
      <c r="I219" s="12">
        <f>IF($B219="","",G219-H219)</f>
        <v/>
      </c>
      <c r="J219" s="12">
        <f>IF($B219="","",E219*D219+F219)</f>
        <v/>
      </c>
      <c r="K219" s="12">
        <f>IF($B219="","",I219-J219)</f>
        <v/>
      </c>
      <c r="L219" s="13">
        <f>IF($B219="","",IFERROR(K219/G219,0))</f>
        <v/>
      </c>
    </row>
    <row r="220">
      <c r="A220" s="9" t="n"/>
      <c r="B220" s="10" t="n"/>
      <c r="C220" s="11" t="n"/>
      <c r="D220" s="10" t="n"/>
      <c r="E220" s="11" t="n"/>
      <c r="F220" s="11" t="n"/>
      <c r="G220" s="12">
        <f>IF($B220="","",C220*D220)</f>
        <v/>
      </c>
      <c r="H220" s="12">
        <f>IF($B220="","",G220*(설정!$B$2+설정!$B$3))</f>
        <v/>
      </c>
      <c r="I220" s="12">
        <f>IF($B220="","",G220-H220)</f>
        <v/>
      </c>
      <c r="J220" s="12">
        <f>IF($B220="","",E220*D220+F220)</f>
        <v/>
      </c>
      <c r="K220" s="12">
        <f>IF($B220="","",I220-J220)</f>
        <v/>
      </c>
      <c r="L220" s="13">
        <f>IF($B220="","",IFERROR(K220/G220,0))</f>
        <v/>
      </c>
    </row>
    <row r="221">
      <c r="A221" s="9" t="n"/>
      <c r="B221" s="10" t="n"/>
      <c r="C221" s="11" t="n"/>
      <c r="D221" s="10" t="n"/>
      <c r="E221" s="11" t="n"/>
      <c r="F221" s="11" t="n"/>
      <c r="G221" s="12">
        <f>IF($B221="","",C221*D221)</f>
        <v/>
      </c>
      <c r="H221" s="12">
        <f>IF($B221="","",G221*(설정!$B$2+설정!$B$3))</f>
        <v/>
      </c>
      <c r="I221" s="12">
        <f>IF($B221="","",G221-H221)</f>
        <v/>
      </c>
      <c r="J221" s="12">
        <f>IF($B221="","",E221*D221+F221)</f>
        <v/>
      </c>
      <c r="K221" s="12">
        <f>IF($B221="","",I221-J221)</f>
        <v/>
      </c>
      <c r="L221" s="13">
        <f>IF($B221="","",IFERROR(K221/G221,0))</f>
        <v/>
      </c>
    </row>
    <row r="222">
      <c r="A222" s="9" t="n"/>
      <c r="B222" s="10" t="n"/>
      <c r="C222" s="11" t="n"/>
      <c r="D222" s="10" t="n"/>
      <c r="E222" s="11" t="n"/>
      <c r="F222" s="11" t="n"/>
      <c r="G222" s="12">
        <f>IF($B222="","",C222*D222)</f>
        <v/>
      </c>
      <c r="H222" s="12">
        <f>IF($B222="","",G222*(설정!$B$2+설정!$B$3))</f>
        <v/>
      </c>
      <c r="I222" s="12">
        <f>IF($B222="","",G222-H222)</f>
        <v/>
      </c>
      <c r="J222" s="12">
        <f>IF($B222="","",E222*D222+F222)</f>
        <v/>
      </c>
      <c r="K222" s="12">
        <f>IF($B222="","",I222-J222)</f>
        <v/>
      </c>
      <c r="L222" s="13">
        <f>IF($B222="","",IFERROR(K222/G222,0))</f>
        <v/>
      </c>
    </row>
    <row r="223">
      <c r="A223" s="9" t="n"/>
      <c r="B223" s="10" t="n"/>
      <c r="C223" s="11" t="n"/>
      <c r="D223" s="10" t="n"/>
      <c r="E223" s="11" t="n"/>
      <c r="F223" s="11" t="n"/>
      <c r="G223" s="12">
        <f>IF($B223="","",C223*D223)</f>
        <v/>
      </c>
      <c r="H223" s="12">
        <f>IF($B223="","",G223*(설정!$B$2+설정!$B$3))</f>
        <v/>
      </c>
      <c r="I223" s="12">
        <f>IF($B223="","",G223-H223)</f>
        <v/>
      </c>
      <c r="J223" s="12">
        <f>IF($B223="","",E223*D223+F223)</f>
        <v/>
      </c>
      <c r="K223" s="12">
        <f>IF($B223="","",I223-J223)</f>
        <v/>
      </c>
      <c r="L223" s="13">
        <f>IF($B223="","",IFERROR(K223/G223,0))</f>
        <v/>
      </c>
    </row>
    <row r="224">
      <c r="A224" s="9" t="n"/>
      <c r="B224" s="10" t="n"/>
      <c r="C224" s="11" t="n"/>
      <c r="D224" s="10" t="n"/>
      <c r="E224" s="11" t="n"/>
      <c r="F224" s="11" t="n"/>
      <c r="G224" s="12">
        <f>IF($B224="","",C224*D224)</f>
        <v/>
      </c>
      <c r="H224" s="12">
        <f>IF($B224="","",G224*(설정!$B$2+설정!$B$3))</f>
        <v/>
      </c>
      <c r="I224" s="12">
        <f>IF($B224="","",G224-H224)</f>
        <v/>
      </c>
      <c r="J224" s="12">
        <f>IF($B224="","",E224*D224+F224)</f>
        <v/>
      </c>
      <c r="K224" s="12">
        <f>IF($B224="","",I224-J224)</f>
        <v/>
      </c>
      <c r="L224" s="13">
        <f>IF($B224="","",IFERROR(K224/G224,0))</f>
        <v/>
      </c>
    </row>
    <row r="225">
      <c r="A225" s="9" t="n"/>
      <c r="B225" s="10" t="n"/>
      <c r="C225" s="11" t="n"/>
      <c r="D225" s="10" t="n"/>
      <c r="E225" s="11" t="n"/>
      <c r="F225" s="11" t="n"/>
      <c r="G225" s="12">
        <f>IF($B225="","",C225*D225)</f>
        <v/>
      </c>
      <c r="H225" s="12">
        <f>IF($B225="","",G225*(설정!$B$2+설정!$B$3))</f>
        <v/>
      </c>
      <c r="I225" s="12">
        <f>IF($B225="","",G225-H225)</f>
        <v/>
      </c>
      <c r="J225" s="12">
        <f>IF($B225="","",E225*D225+F225)</f>
        <v/>
      </c>
      <c r="K225" s="12">
        <f>IF($B225="","",I225-J225)</f>
        <v/>
      </c>
      <c r="L225" s="13">
        <f>IF($B225="","",IFERROR(K225/G225,0))</f>
        <v/>
      </c>
    </row>
    <row r="226">
      <c r="A226" s="9" t="n"/>
      <c r="B226" s="10" t="n"/>
      <c r="C226" s="11" t="n"/>
      <c r="D226" s="10" t="n"/>
      <c r="E226" s="11" t="n"/>
      <c r="F226" s="11" t="n"/>
      <c r="G226" s="12">
        <f>IF($B226="","",C226*D226)</f>
        <v/>
      </c>
      <c r="H226" s="12">
        <f>IF($B226="","",G226*(설정!$B$2+설정!$B$3))</f>
        <v/>
      </c>
      <c r="I226" s="12">
        <f>IF($B226="","",G226-H226)</f>
        <v/>
      </c>
      <c r="J226" s="12">
        <f>IF($B226="","",E226*D226+F226)</f>
        <v/>
      </c>
      <c r="K226" s="12">
        <f>IF($B226="","",I226-J226)</f>
        <v/>
      </c>
      <c r="L226" s="13">
        <f>IF($B226="","",IFERROR(K226/G226,0))</f>
        <v/>
      </c>
    </row>
    <row r="227">
      <c r="A227" s="9" t="n"/>
      <c r="B227" s="10" t="n"/>
      <c r="C227" s="11" t="n"/>
      <c r="D227" s="10" t="n"/>
      <c r="E227" s="11" t="n"/>
      <c r="F227" s="11" t="n"/>
      <c r="G227" s="12">
        <f>IF($B227="","",C227*D227)</f>
        <v/>
      </c>
      <c r="H227" s="12">
        <f>IF($B227="","",G227*(설정!$B$2+설정!$B$3))</f>
        <v/>
      </c>
      <c r="I227" s="12">
        <f>IF($B227="","",G227-H227)</f>
        <v/>
      </c>
      <c r="J227" s="12">
        <f>IF($B227="","",E227*D227+F227)</f>
        <v/>
      </c>
      <c r="K227" s="12">
        <f>IF($B227="","",I227-J227)</f>
        <v/>
      </c>
      <c r="L227" s="13">
        <f>IF($B227="","",IFERROR(K227/G227,0))</f>
        <v/>
      </c>
    </row>
    <row r="228">
      <c r="A228" s="9" t="n"/>
      <c r="B228" s="10" t="n"/>
      <c r="C228" s="11" t="n"/>
      <c r="D228" s="10" t="n"/>
      <c r="E228" s="11" t="n"/>
      <c r="F228" s="11" t="n"/>
      <c r="G228" s="12">
        <f>IF($B228="","",C228*D228)</f>
        <v/>
      </c>
      <c r="H228" s="12">
        <f>IF($B228="","",G228*(설정!$B$2+설정!$B$3))</f>
        <v/>
      </c>
      <c r="I228" s="12">
        <f>IF($B228="","",G228-H228)</f>
        <v/>
      </c>
      <c r="J228" s="12">
        <f>IF($B228="","",E228*D228+F228)</f>
        <v/>
      </c>
      <c r="K228" s="12">
        <f>IF($B228="","",I228-J228)</f>
        <v/>
      </c>
      <c r="L228" s="13">
        <f>IF($B228="","",IFERROR(K228/G228,0))</f>
        <v/>
      </c>
    </row>
    <row r="229">
      <c r="A229" s="9" t="n"/>
      <c r="B229" s="10" t="n"/>
      <c r="C229" s="11" t="n"/>
      <c r="D229" s="10" t="n"/>
      <c r="E229" s="11" t="n"/>
      <c r="F229" s="11" t="n"/>
      <c r="G229" s="12">
        <f>IF($B229="","",C229*D229)</f>
        <v/>
      </c>
      <c r="H229" s="12">
        <f>IF($B229="","",G229*(설정!$B$2+설정!$B$3))</f>
        <v/>
      </c>
      <c r="I229" s="12">
        <f>IF($B229="","",G229-H229)</f>
        <v/>
      </c>
      <c r="J229" s="12">
        <f>IF($B229="","",E229*D229+F229)</f>
        <v/>
      </c>
      <c r="K229" s="12">
        <f>IF($B229="","",I229-J229)</f>
        <v/>
      </c>
      <c r="L229" s="13">
        <f>IF($B229="","",IFERROR(K229/G229,0))</f>
        <v/>
      </c>
    </row>
    <row r="230">
      <c r="A230" s="9" t="n"/>
      <c r="B230" s="10" t="n"/>
      <c r="C230" s="11" t="n"/>
      <c r="D230" s="10" t="n"/>
      <c r="E230" s="11" t="n"/>
      <c r="F230" s="11" t="n"/>
      <c r="G230" s="12">
        <f>IF($B230="","",C230*D230)</f>
        <v/>
      </c>
      <c r="H230" s="12">
        <f>IF($B230="","",G230*(설정!$B$2+설정!$B$3))</f>
        <v/>
      </c>
      <c r="I230" s="12">
        <f>IF($B230="","",G230-H230)</f>
        <v/>
      </c>
      <c r="J230" s="12">
        <f>IF($B230="","",E230*D230+F230)</f>
        <v/>
      </c>
      <c r="K230" s="12">
        <f>IF($B230="","",I230-J230)</f>
        <v/>
      </c>
      <c r="L230" s="13">
        <f>IF($B230="","",IFERROR(K230/G230,0))</f>
        <v/>
      </c>
    </row>
    <row r="231">
      <c r="A231" s="9" t="n"/>
      <c r="B231" s="10" t="n"/>
      <c r="C231" s="11" t="n"/>
      <c r="D231" s="10" t="n"/>
      <c r="E231" s="11" t="n"/>
      <c r="F231" s="11" t="n"/>
      <c r="G231" s="12">
        <f>IF($B231="","",C231*D231)</f>
        <v/>
      </c>
      <c r="H231" s="12">
        <f>IF($B231="","",G231*(설정!$B$2+설정!$B$3))</f>
        <v/>
      </c>
      <c r="I231" s="12">
        <f>IF($B231="","",G231-H231)</f>
        <v/>
      </c>
      <c r="J231" s="12">
        <f>IF($B231="","",E231*D231+F231)</f>
        <v/>
      </c>
      <c r="K231" s="12">
        <f>IF($B231="","",I231-J231)</f>
        <v/>
      </c>
      <c r="L231" s="13">
        <f>IF($B231="","",IFERROR(K231/G231,0))</f>
        <v/>
      </c>
    </row>
    <row r="232">
      <c r="A232" s="9" t="n"/>
      <c r="B232" s="10" t="n"/>
      <c r="C232" s="11" t="n"/>
      <c r="D232" s="10" t="n"/>
      <c r="E232" s="11" t="n"/>
      <c r="F232" s="11" t="n"/>
      <c r="G232" s="12">
        <f>IF($B232="","",C232*D232)</f>
        <v/>
      </c>
      <c r="H232" s="12">
        <f>IF($B232="","",G232*(설정!$B$2+설정!$B$3))</f>
        <v/>
      </c>
      <c r="I232" s="12">
        <f>IF($B232="","",G232-H232)</f>
        <v/>
      </c>
      <c r="J232" s="12">
        <f>IF($B232="","",E232*D232+F232)</f>
        <v/>
      </c>
      <c r="K232" s="12">
        <f>IF($B232="","",I232-J232)</f>
        <v/>
      </c>
      <c r="L232" s="13">
        <f>IF($B232="","",IFERROR(K232/G232,0))</f>
        <v/>
      </c>
    </row>
    <row r="233">
      <c r="A233" s="9" t="n"/>
      <c r="B233" s="10" t="n"/>
      <c r="C233" s="11" t="n"/>
      <c r="D233" s="10" t="n"/>
      <c r="E233" s="11" t="n"/>
      <c r="F233" s="11" t="n"/>
      <c r="G233" s="12">
        <f>IF($B233="","",C233*D233)</f>
        <v/>
      </c>
      <c r="H233" s="12">
        <f>IF($B233="","",G233*(설정!$B$2+설정!$B$3))</f>
        <v/>
      </c>
      <c r="I233" s="12">
        <f>IF($B233="","",G233-H233)</f>
        <v/>
      </c>
      <c r="J233" s="12">
        <f>IF($B233="","",E233*D233+F233)</f>
        <v/>
      </c>
      <c r="K233" s="12">
        <f>IF($B233="","",I233-J233)</f>
        <v/>
      </c>
      <c r="L233" s="13">
        <f>IF($B233="","",IFERROR(K233/G233,0))</f>
        <v/>
      </c>
    </row>
    <row r="234">
      <c r="A234" s="9" t="n"/>
      <c r="B234" s="10" t="n"/>
      <c r="C234" s="11" t="n"/>
      <c r="D234" s="10" t="n"/>
      <c r="E234" s="11" t="n"/>
      <c r="F234" s="11" t="n"/>
      <c r="G234" s="12">
        <f>IF($B234="","",C234*D234)</f>
        <v/>
      </c>
      <c r="H234" s="12">
        <f>IF($B234="","",G234*(설정!$B$2+설정!$B$3))</f>
        <v/>
      </c>
      <c r="I234" s="12">
        <f>IF($B234="","",G234-H234)</f>
        <v/>
      </c>
      <c r="J234" s="12">
        <f>IF($B234="","",E234*D234+F234)</f>
        <v/>
      </c>
      <c r="K234" s="12">
        <f>IF($B234="","",I234-J234)</f>
        <v/>
      </c>
      <c r="L234" s="13">
        <f>IF($B234="","",IFERROR(K234/G234,0))</f>
        <v/>
      </c>
    </row>
    <row r="235">
      <c r="A235" s="9" t="n"/>
      <c r="B235" s="10" t="n"/>
      <c r="C235" s="11" t="n"/>
      <c r="D235" s="10" t="n"/>
      <c r="E235" s="11" t="n"/>
      <c r="F235" s="11" t="n"/>
      <c r="G235" s="12">
        <f>IF($B235="","",C235*D235)</f>
        <v/>
      </c>
      <c r="H235" s="12">
        <f>IF($B235="","",G235*(설정!$B$2+설정!$B$3))</f>
        <v/>
      </c>
      <c r="I235" s="12">
        <f>IF($B235="","",G235-H235)</f>
        <v/>
      </c>
      <c r="J235" s="12">
        <f>IF($B235="","",E235*D235+F235)</f>
        <v/>
      </c>
      <c r="K235" s="12">
        <f>IF($B235="","",I235-J235)</f>
        <v/>
      </c>
      <c r="L235" s="13">
        <f>IF($B235="","",IFERROR(K235/G235,0))</f>
        <v/>
      </c>
    </row>
    <row r="236">
      <c r="A236" s="9" t="n"/>
      <c r="B236" s="10" t="n"/>
      <c r="C236" s="11" t="n"/>
      <c r="D236" s="10" t="n"/>
      <c r="E236" s="11" t="n"/>
      <c r="F236" s="11" t="n"/>
      <c r="G236" s="12">
        <f>IF($B236="","",C236*D236)</f>
        <v/>
      </c>
      <c r="H236" s="12">
        <f>IF($B236="","",G236*(설정!$B$2+설정!$B$3))</f>
        <v/>
      </c>
      <c r="I236" s="12">
        <f>IF($B236="","",G236-H236)</f>
        <v/>
      </c>
      <c r="J236" s="12">
        <f>IF($B236="","",E236*D236+F236)</f>
        <v/>
      </c>
      <c r="K236" s="12">
        <f>IF($B236="","",I236-J236)</f>
        <v/>
      </c>
      <c r="L236" s="13">
        <f>IF($B236="","",IFERROR(K236/G236,0))</f>
        <v/>
      </c>
    </row>
    <row r="237">
      <c r="A237" s="9" t="n"/>
      <c r="B237" s="10" t="n"/>
      <c r="C237" s="11" t="n"/>
      <c r="D237" s="10" t="n"/>
      <c r="E237" s="11" t="n"/>
      <c r="F237" s="11" t="n"/>
      <c r="G237" s="12">
        <f>IF($B237="","",C237*D237)</f>
        <v/>
      </c>
      <c r="H237" s="12">
        <f>IF($B237="","",G237*(설정!$B$2+설정!$B$3))</f>
        <v/>
      </c>
      <c r="I237" s="12">
        <f>IF($B237="","",G237-H237)</f>
        <v/>
      </c>
      <c r="J237" s="12">
        <f>IF($B237="","",E237*D237+F237)</f>
        <v/>
      </c>
      <c r="K237" s="12">
        <f>IF($B237="","",I237-J237)</f>
        <v/>
      </c>
      <c r="L237" s="13">
        <f>IF($B237="","",IFERROR(K237/G237,0))</f>
        <v/>
      </c>
    </row>
    <row r="238">
      <c r="A238" s="9" t="n"/>
      <c r="B238" s="10" t="n"/>
      <c r="C238" s="11" t="n"/>
      <c r="D238" s="10" t="n"/>
      <c r="E238" s="11" t="n"/>
      <c r="F238" s="11" t="n"/>
      <c r="G238" s="12">
        <f>IF($B238="","",C238*D238)</f>
        <v/>
      </c>
      <c r="H238" s="12">
        <f>IF($B238="","",G238*(설정!$B$2+설정!$B$3))</f>
        <v/>
      </c>
      <c r="I238" s="12">
        <f>IF($B238="","",G238-H238)</f>
        <v/>
      </c>
      <c r="J238" s="12">
        <f>IF($B238="","",E238*D238+F238)</f>
        <v/>
      </c>
      <c r="K238" s="12">
        <f>IF($B238="","",I238-J238)</f>
        <v/>
      </c>
      <c r="L238" s="13">
        <f>IF($B238="","",IFERROR(K238/G238,0))</f>
        <v/>
      </c>
    </row>
    <row r="239">
      <c r="A239" s="9" t="n"/>
      <c r="B239" s="10" t="n"/>
      <c r="C239" s="11" t="n"/>
      <c r="D239" s="10" t="n"/>
      <c r="E239" s="11" t="n"/>
      <c r="F239" s="11" t="n"/>
      <c r="G239" s="12">
        <f>IF($B239="","",C239*D239)</f>
        <v/>
      </c>
      <c r="H239" s="12">
        <f>IF($B239="","",G239*(설정!$B$2+설정!$B$3))</f>
        <v/>
      </c>
      <c r="I239" s="12">
        <f>IF($B239="","",G239-H239)</f>
        <v/>
      </c>
      <c r="J239" s="12">
        <f>IF($B239="","",E239*D239+F239)</f>
        <v/>
      </c>
      <c r="K239" s="12">
        <f>IF($B239="","",I239-J239)</f>
        <v/>
      </c>
      <c r="L239" s="13">
        <f>IF($B239="","",IFERROR(K239/G239,0))</f>
        <v/>
      </c>
    </row>
    <row r="240">
      <c r="A240" s="9" t="n"/>
      <c r="B240" s="10" t="n"/>
      <c r="C240" s="11" t="n"/>
      <c r="D240" s="10" t="n"/>
      <c r="E240" s="11" t="n"/>
      <c r="F240" s="11" t="n"/>
      <c r="G240" s="12">
        <f>IF($B240="","",C240*D240)</f>
        <v/>
      </c>
      <c r="H240" s="12">
        <f>IF($B240="","",G240*(설정!$B$2+설정!$B$3))</f>
        <v/>
      </c>
      <c r="I240" s="12">
        <f>IF($B240="","",G240-H240)</f>
        <v/>
      </c>
      <c r="J240" s="12">
        <f>IF($B240="","",E240*D240+F240)</f>
        <v/>
      </c>
      <c r="K240" s="12">
        <f>IF($B240="","",I240-J240)</f>
        <v/>
      </c>
      <c r="L240" s="13">
        <f>IF($B240="","",IFERROR(K240/G240,0))</f>
        <v/>
      </c>
    </row>
    <row r="241">
      <c r="A241" s="9" t="n"/>
      <c r="B241" s="10" t="n"/>
      <c r="C241" s="11" t="n"/>
      <c r="D241" s="10" t="n"/>
      <c r="E241" s="11" t="n"/>
      <c r="F241" s="11" t="n"/>
      <c r="G241" s="12">
        <f>IF($B241="","",C241*D241)</f>
        <v/>
      </c>
      <c r="H241" s="12">
        <f>IF($B241="","",G241*(설정!$B$2+설정!$B$3))</f>
        <v/>
      </c>
      <c r="I241" s="12">
        <f>IF($B241="","",G241-H241)</f>
        <v/>
      </c>
      <c r="J241" s="12">
        <f>IF($B241="","",E241*D241+F241)</f>
        <v/>
      </c>
      <c r="K241" s="12">
        <f>IF($B241="","",I241-J241)</f>
        <v/>
      </c>
      <c r="L241" s="13">
        <f>IF($B241="","",IFERROR(K241/G241,0))</f>
        <v/>
      </c>
    </row>
    <row r="242">
      <c r="A242" s="9" t="n"/>
      <c r="B242" s="10" t="n"/>
      <c r="C242" s="11" t="n"/>
      <c r="D242" s="10" t="n"/>
      <c r="E242" s="11" t="n"/>
      <c r="F242" s="11" t="n"/>
      <c r="G242" s="12">
        <f>IF($B242="","",C242*D242)</f>
        <v/>
      </c>
      <c r="H242" s="12">
        <f>IF($B242="","",G242*(설정!$B$2+설정!$B$3))</f>
        <v/>
      </c>
      <c r="I242" s="12">
        <f>IF($B242="","",G242-H242)</f>
        <v/>
      </c>
      <c r="J242" s="12">
        <f>IF($B242="","",E242*D242+F242)</f>
        <v/>
      </c>
      <c r="K242" s="12">
        <f>IF($B242="","",I242-J242)</f>
        <v/>
      </c>
      <c r="L242" s="13">
        <f>IF($B242="","",IFERROR(K242/G242,0))</f>
        <v/>
      </c>
    </row>
    <row r="243">
      <c r="A243" s="9" t="n"/>
      <c r="B243" s="10" t="n"/>
      <c r="C243" s="11" t="n"/>
      <c r="D243" s="10" t="n"/>
      <c r="E243" s="11" t="n"/>
      <c r="F243" s="11" t="n"/>
      <c r="G243" s="12">
        <f>IF($B243="","",C243*D243)</f>
        <v/>
      </c>
      <c r="H243" s="12">
        <f>IF($B243="","",G243*(설정!$B$2+설정!$B$3))</f>
        <v/>
      </c>
      <c r="I243" s="12">
        <f>IF($B243="","",G243-H243)</f>
        <v/>
      </c>
      <c r="J243" s="12">
        <f>IF($B243="","",E243*D243+F243)</f>
        <v/>
      </c>
      <c r="K243" s="12">
        <f>IF($B243="","",I243-J243)</f>
        <v/>
      </c>
      <c r="L243" s="13">
        <f>IF($B243="","",IFERROR(K243/G243,0))</f>
        <v/>
      </c>
    </row>
    <row r="244">
      <c r="A244" s="9" t="n"/>
      <c r="B244" s="10" t="n"/>
      <c r="C244" s="11" t="n"/>
      <c r="D244" s="10" t="n"/>
      <c r="E244" s="11" t="n"/>
      <c r="F244" s="11" t="n"/>
      <c r="G244" s="12">
        <f>IF($B244="","",C244*D244)</f>
        <v/>
      </c>
      <c r="H244" s="12">
        <f>IF($B244="","",G244*(설정!$B$2+설정!$B$3))</f>
        <v/>
      </c>
      <c r="I244" s="12">
        <f>IF($B244="","",G244-H244)</f>
        <v/>
      </c>
      <c r="J244" s="12">
        <f>IF($B244="","",E244*D244+F244)</f>
        <v/>
      </c>
      <c r="K244" s="12">
        <f>IF($B244="","",I244-J244)</f>
        <v/>
      </c>
      <c r="L244" s="13">
        <f>IF($B244="","",IFERROR(K244/G244,0))</f>
        <v/>
      </c>
    </row>
    <row r="245">
      <c r="A245" s="9" t="n"/>
      <c r="B245" s="10" t="n"/>
      <c r="C245" s="11" t="n"/>
      <c r="D245" s="10" t="n"/>
      <c r="E245" s="11" t="n"/>
      <c r="F245" s="11" t="n"/>
      <c r="G245" s="12">
        <f>IF($B245="","",C245*D245)</f>
        <v/>
      </c>
      <c r="H245" s="12">
        <f>IF($B245="","",G245*(설정!$B$2+설정!$B$3))</f>
        <v/>
      </c>
      <c r="I245" s="12">
        <f>IF($B245="","",G245-H245)</f>
        <v/>
      </c>
      <c r="J245" s="12">
        <f>IF($B245="","",E245*D245+F245)</f>
        <v/>
      </c>
      <c r="K245" s="12">
        <f>IF($B245="","",I245-J245)</f>
        <v/>
      </c>
      <c r="L245" s="13">
        <f>IF($B245="","",IFERROR(K245/G245,0))</f>
        <v/>
      </c>
    </row>
    <row r="246">
      <c r="A246" s="9" t="n"/>
      <c r="B246" s="10" t="n"/>
      <c r="C246" s="11" t="n"/>
      <c r="D246" s="10" t="n"/>
      <c r="E246" s="11" t="n"/>
      <c r="F246" s="11" t="n"/>
      <c r="G246" s="12">
        <f>IF($B246="","",C246*D246)</f>
        <v/>
      </c>
      <c r="H246" s="12">
        <f>IF($B246="","",G246*(설정!$B$2+설정!$B$3))</f>
        <v/>
      </c>
      <c r="I246" s="12">
        <f>IF($B246="","",G246-H246)</f>
        <v/>
      </c>
      <c r="J246" s="12">
        <f>IF($B246="","",E246*D246+F246)</f>
        <v/>
      </c>
      <c r="K246" s="12">
        <f>IF($B246="","",I246-J246)</f>
        <v/>
      </c>
      <c r="L246" s="13">
        <f>IF($B246="","",IFERROR(K246/G246,0))</f>
        <v/>
      </c>
    </row>
    <row r="247">
      <c r="A247" s="9" t="n"/>
      <c r="B247" s="10" t="n"/>
      <c r="C247" s="11" t="n"/>
      <c r="D247" s="10" t="n"/>
      <c r="E247" s="11" t="n"/>
      <c r="F247" s="11" t="n"/>
      <c r="G247" s="12">
        <f>IF($B247="","",C247*D247)</f>
        <v/>
      </c>
      <c r="H247" s="12">
        <f>IF($B247="","",G247*(설정!$B$2+설정!$B$3))</f>
        <v/>
      </c>
      <c r="I247" s="12">
        <f>IF($B247="","",G247-H247)</f>
        <v/>
      </c>
      <c r="J247" s="12">
        <f>IF($B247="","",E247*D247+F247)</f>
        <v/>
      </c>
      <c r="K247" s="12">
        <f>IF($B247="","",I247-J247)</f>
        <v/>
      </c>
      <c r="L247" s="13">
        <f>IF($B247="","",IFERROR(K247/G247,0))</f>
        <v/>
      </c>
    </row>
    <row r="248">
      <c r="A248" s="9" t="n"/>
      <c r="B248" s="10" t="n"/>
      <c r="C248" s="11" t="n"/>
      <c r="D248" s="10" t="n"/>
      <c r="E248" s="11" t="n"/>
      <c r="F248" s="11" t="n"/>
      <c r="G248" s="12">
        <f>IF($B248="","",C248*D248)</f>
        <v/>
      </c>
      <c r="H248" s="12">
        <f>IF($B248="","",G248*(설정!$B$2+설정!$B$3))</f>
        <v/>
      </c>
      <c r="I248" s="12">
        <f>IF($B248="","",G248-H248)</f>
        <v/>
      </c>
      <c r="J248" s="12">
        <f>IF($B248="","",E248*D248+F248)</f>
        <v/>
      </c>
      <c r="K248" s="12">
        <f>IF($B248="","",I248-J248)</f>
        <v/>
      </c>
      <c r="L248" s="13">
        <f>IF($B248="","",IFERROR(K248/G248,0))</f>
        <v/>
      </c>
    </row>
    <row r="249">
      <c r="A249" s="9" t="n"/>
      <c r="B249" s="10" t="n"/>
      <c r="C249" s="11" t="n"/>
      <c r="D249" s="10" t="n"/>
      <c r="E249" s="11" t="n"/>
      <c r="F249" s="11" t="n"/>
      <c r="G249" s="12">
        <f>IF($B249="","",C249*D249)</f>
        <v/>
      </c>
      <c r="H249" s="12">
        <f>IF($B249="","",G249*(설정!$B$2+설정!$B$3))</f>
        <v/>
      </c>
      <c r="I249" s="12">
        <f>IF($B249="","",G249-H249)</f>
        <v/>
      </c>
      <c r="J249" s="12">
        <f>IF($B249="","",E249*D249+F249)</f>
        <v/>
      </c>
      <c r="K249" s="12">
        <f>IF($B249="","",I249-J249)</f>
        <v/>
      </c>
      <c r="L249" s="13">
        <f>IF($B249="","",IFERROR(K249/G249,0))</f>
        <v/>
      </c>
    </row>
    <row r="250">
      <c r="A250" s="9" t="n"/>
      <c r="B250" s="10" t="n"/>
      <c r="C250" s="11" t="n"/>
      <c r="D250" s="10" t="n"/>
      <c r="E250" s="11" t="n"/>
      <c r="F250" s="11" t="n"/>
      <c r="G250" s="12">
        <f>IF($B250="","",C250*D250)</f>
        <v/>
      </c>
      <c r="H250" s="12">
        <f>IF($B250="","",G250*(설정!$B$2+설정!$B$3))</f>
        <v/>
      </c>
      <c r="I250" s="12">
        <f>IF($B250="","",G250-H250)</f>
        <v/>
      </c>
      <c r="J250" s="12">
        <f>IF($B250="","",E250*D250+F250)</f>
        <v/>
      </c>
      <c r="K250" s="12">
        <f>IF($B250="","",I250-J250)</f>
        <v/>
      </c>
      <c r="L250" s="13">
        <f>IF($B250="","",IFERROR(K250/G250,0))</f>
        <v/>
      </c>
    </row>
    <row r="251">
      <c r="A251" s="9" t="n"/>
      <c r="B251" s="10" t="n"/>
      <c r="C251" s="11" t="n"/>
      <c r="D251" s="10" t="n"/>
      <c r="E251" s="11" t="n"/>
      <c r="F251" s="11" t="n"/>
      <c r="G251" s="12">
        <f>IF($B251="","",C251*D251)</f>
        <v/>
      </c>
      <c r="H251" s="12">
        <f>IF($B251="","",G251*(설정!$B$2+설정!$B$3))</f>
        <v/>
      </c>
      <c r="I251" s="12">
        <f>IF($B251="","",G251-H251)</f>
        <v/>
      </c>
      <c r="J251" s="12">
        <f>IF($B251="","",E251*D251+F251)</f>
        <v/>
      </c>
      <c r="K251" s="12">
        <f>IF($B251="","",I251-J251)</f>
        <v/>
      </c>
      <c r="L251" s="13">
        <f>IF($B251="","",IFERROR(K251/G251,0))</f>
        <v/>
      </c>
    </row>
    <row r="252">
      <c r="A252" s="9" t="n"/>
      <c r="B252" s="10" t="n"/>
      <c r="C252" s="11" t="n"/>
      <c r="D252" s="10" t="n"/>
      <c r="E252" s="11" t="n"/>
      <c r="F252" s="11" t="n"/>
      <c r="G252" s="12">
        <f>IF($B252="","",C252*D252)</f>
        <v/>
      </c>
      <c r="H252" s="12">
        <f>IF($B252="","",G252*(설정!$B$2+설정!$B$3))</f>
        <v/>
      </c>
      <c r="I252" s="12">
        <f>IF($B252="","",G252-H252)</f>
        <v/>
      </c>
      <c r="J252" s="12">
        <f>IF($B252="","",E252*D252+F252)</f>
        <v/>
      </c>
      <c r="K252" s="12">
        <f>IF($B252="","",I252-J252)</f>
        <v/>
      </c>
      <c r="L252" s="13">
        <f>IF($B252="","",IFERROR(K252/G252,0))</f>
        <v/>
      </c>
    </row>
    <row r="253">
      <c r="A253" s="9" t="n"/>
      <c r="B253" s="10" t="n"/>
      <c r="C253" s="11" t="n"/>
      <c r="D253" s="10" t="n"/>
      <c r="E253" s="11" t="n"/>
      <c r="F253" s="11" t="n"/>
      <c r="G253" s="12">
        <f>IF($B253="","",C253*D253)</f>
        <v/>
      </c>
      <c r="H253" s="12">
        <f>IF($B253="","",G253*(설정!$B$2+설정!$B$3))</f>
        <v/>
      </c>
      <c r="I253" s="12">
        <f>IF($B253="","",G253-H253)</f>
        <v/>
      </c>
      <c r="J253" s="12">
        <f>IF($B253="","",E253*D253+F253)</f>
        <v/>
      </c>
      <c r="K253" s="12">
        <f>IF($B253="","",I253-J253)</f>
        <v/>
      </c>
      <c r="L253" s="13">
        <f>IF($B253="","",IFERROR(K253/G253,0))</f>
        <v/>
      </c>
    </row>
    <row r="254">
      <c r="A254" s="9" t="n"/>
      <c r="B254" s="10" t="n"/>
      <c r="C254" s="11" t="n"/>
      <c r="D254" s="10" t="n"/>
      <c r="E254" s="11" t="n"/>
      <c r="F254" s="11" t="n"/>
      <c r="G254" s="12">
        <f>IF($B254="","",C254*D254)</f>
        <v/>
      </c>
      <c r="H254" s="12">
        <f>IF($B254="","",G254*(설정!$B$2+설정!$B$3))</f>
        <v/>
      </c>
      <c r="I254" s="12">
        <f>IF($B254="","",G254-H254)</f>
        <v/>
      </c>
      <c r="J254" s="12">
        <f>IF($B254="","",E254*D254+F254)</f>
        <v/>
      </c>
      <c r="K254" s="12">
        <f>IF($B254="","",I254-J254)</f>
        <v/>
      </c>
      <c r="L254" s="13">
        <f>IF($B254="","",IFERROR(K254/G254,0))</f>
        <v/>
      </c>
    </row>
    <row r="255">
      <c r="A255" s="9" t="n"/>
      <c r="B255" s="10" t="n"/>
      <c r="C255" s="11" t="n"/>
      <c r="D255" s="10" t="n"/>
      <c r="E255" s="11" t="n"/>
      <c r="F255" s="11" t="n"/>
      <c r="G255" s="12">
        <f>IF($B255="","",C255*D255)</f>
        <v/>
      </c>
      <c r="H255" s="12">
        <f>IF($B255="","",G255*(설정!$B$2+설정!$B$3))</f>
        <v/>
      </c>
      <c r="I255" s="12">
        <f>IF($B255="","",G255-H255)</f>
        <v/>
      </c>
      <c r="J255" s="12">
        <f>IF($B255="","",E255*D255+F255)</f>
        <v/>
      </c>
      <c r="K255" s="12">
        <f>IF($B255="","",I255-J255)</f>
        <v/>
      </c>
      <c r="L255" s="13">
        <f>IF($B255="","",IFERROR(K255/G255,0))</f>
        <v/>
      </c>
    </row>
    <row r="256">
      <c r="A256" s="9" t="n"/>
      <c r="B256" s="10" t="n"/>
      <c r="C256" s="11" t="n"/>
      <c r="D256" s="10" t="n"/>
      <c r="E256" s="11" t="n"/>
      <c r="F256" s="11" t="n"/>
      <c r="G256" s="12">
        <f>IF($B256="","",C256*D256)</f>
        <v/>
      </c>
      <c r="H256" s="12">
        <f>IF($B256="","",G256*(설정!$B$2+설정!$B$3))</f>
        <v/>
      </c>
      <c r="I256" s="12">
        <f>IF($B256="","",G256-H256)</f>
        <v/>
      </c>
      <c r="J256" s="12">
        <f>IF($B256="","",E256*D256+F256)</f>
        <v/>
      </c>
      <c r="K256" s="12">
        <f>IF($B256="","",I256-J256)</f>
        <v/>
      </c>
      <c r="L256" s="13">
        <f>IF($B256="","",IFERROR(K256/G256,0))</f>
        <v/>
      </c>
    </row>
    <row r="257">
      <c r="A257" s="9" t="n"/>
      <c r="B257" s="10" t="n"/>
      <c r="C257" s="11" t="n"/>
      <c r="D257" s="10" t="n"/>
      <c r="E257" s="11" t="n"/>
      <c r="F257" s="11" t="n"/>
      <c r="G257" s="12">
        <f>IF($B257="","",C257*D257)</f>
        <v/>
      </c>
      <c r="H257" s="12">
        <f>IF($B257="","",G257*(설정!$B$2+설정!$B$3))</f>
        <v/>
      </c>
      <c r="I257" s="12">
        <f>IF($B257="","",G257-H257)</f>
        <v/>
      </c>
      <c r="J257" s="12">
        <f>IF($B257="","",E257*D257+F257)</f>
        <v/>
      </c>
      <c r="K257" s="12">
        <f>IF($B257="","",I257-J257)</f>
        <v/>
      </c>
      <c r="L257" s="13">
        <f>IF($B257="","",IFERROR(K257/G257,0))</f>
        <v/>
      </c>
    </row>
    <row r="258">
      <c r="A258" s="9" t="n"/>
      <c r="B258" s="10" t="n"/>
      <c r="C258" s="11" t="n"/>
      <c r="D258" s="10" t="n"/>
      <c r="E258" s="11" t="n"/>
      <c r="F258" s="11" t="n"/>
      <c r="G258" s="12">
        <f>IF($B258="","",C258*D258)</f>
        <v/>
      </c>
      <c r="H258" s="12">
        <f>IF($B258="","",G258*(설정!$B$2+설정!$B$3))</f>
        <v/>
      </c>
      <c r="I258" s="12">
        <f>IF($B258="","",G258-H258)</f>
        <v/>
      </c>
      <c r="J258" s="12">
        <f>IF($B258="","",E258*D258+F258)</f>
        <v/>
      </c>
      <c r="K258" s="12">
        <f>IF($B258="","",I258-J258)</f>
        <v/>
      </c>
      <c r="L258" s="13">
        <f>IF($B258="","",IFERROR(K258/G258,0))</f>
        <v/>
      </c>
    </row>
    <row r="259">
      <c r="A259" s="9" t="n"/>
      <c r="B259" s="10" t="n"/>
      <c r="C259" s="11" t="n"/>
      <c r="D259" s="10" t="n"/>
      <c r="E259" s="11" t="n"/>
      <c r="F259" s="11" t="n"/>
      <c r="G259" s="12">
        <f>IF($B259="","",C259*D259)</f>
        <v/>
      </c>
      <c r="H259" s="12">
        <f>IF($B259="","",G259*(설정!$B$2+설정!$B$3))</f>
        <v/>
      </c>
      <c r="I259" s="12">
        <f>IF($B259="","",G259-H259)</f>
        <v/>
      </c>
      <c r="J259" s="12">
        <f>IF($B259="","",E259*D259+F259)</f>
        <v/>
      </c>
      <c r="K259" s="12">
        <f>IF($B259="","",I259-J259)</f>
        <v/>
      </c>
      <c r="L259" s="13">
        <f>IF($B259="","",IFERROR(K259/G259,0))</f>
        <v/>
      </c>
    </row>
    <row r="260">
      <c r="A260" s="9" t="n"/>
      <c r="B260" s="10" t="n"/>
      <c r="C260" s="11" t="n"/>
      <c r="D260" s="10" t="n"/>
      <c r="E260" s="11" t="n"/>
      <c r="F260" s="11" t="n"/>
      <c r="G260" s="12">
        <f>IF($B260="","",C260*D260)</f>
        <v/>
      </c>
      <c r="H260" s="12">
        <f>IF($B260="","",G260*(설정!$B$2+설정!$B$3))</f>
        <v/>
      </c>
      <c r="I260" s="12">
        <f>IF($B260="","",G260-H260)</f>
        <v/>
      </c>
      <c r="J260" s="12">
        <f>IF($B260="","",E260*D260+F260)</f>
        <v/>
      </c>
      <c r="K260" s="12">
        <f>IF($B260="","",I260-J260)</f>
        <v/>
      </c>
      <c r="L260" s="13">
        <f>IF($B260="","",IFERROR(K260/G260,0))</f>
        <v/>
      </c>
    </row>
    <row r="261">
      <c r="A261" s="9" t="n"/>
      <c r="B261" s="10" t="n"/>
      <c r="C261" s="11" t="n"/>
      <c r="D261" s="10" t="n"/>
      <c r="E261" s="11" t="n"/>
      <c r="F261" s="11" t="n"/>
      <c r="G261" s="12">
        <f>IF($B261="","",C261*D261)</f>
        <v/>
      </c>
      <c r="H261" s="12">
        <f>IF($B261="","",G261*(설정!$B$2+설정!$B$3))</f>
        <v/>
      </c>
      <c r="I261" s="12">
        <f>IF($B261="","",G261-H261)</f>
        <v/>
      </c>
      <c r="J261" s="12">
        <f>IF($B261="","",E261*D261+F261)</f>
        <v/>
      </c>
      <c r="K261" s="12">
        <f>IF($B261="","",I261-J261)</f>
        <v/>
      </c>
      <c r="L261" s="13">
        <f>IF($B261="","",IFERROR(K261/G261,0))</f>
        <v/>
      </c>
    </row>
    <row r="262">
      <c r="A262" s="9" t="n"/>
      <c r="B262" s="10" t="n"/>
      <c r="C262" s="11" t="n"/>
      <c r="D262" s="10" t="n"/>
      <c r="E262" s="11" t="n"/>
      <c r="F262" s="11" t="n"/>
      <c r="G262" s="12">
        <f>IF($B262="","",C262*D262)</f>
        <v/>
      </c>
      <c r="H262" s="12">
        <f>IF($B262="","",G262*(설정!$B$2+설정!$B$3))</f>
        <v/>
      </c>
      <c r="I262" s="12">
        <f>IF($B262="","",G262-H262)</f>
        <v/>
      </c>
      <c r="J262" s="12">
        <f>IF($B262="","",E262*D262+F262)</f>
        <v/>
      </c>
      <c r="K262" s="12">
        <f>IF($B262="","",I262-J262)</f>
        <v/>
      </c>
      <c r="L262" s="13">
        <f>IF($B262="","",IFERROR(K262/G262,0))</f>
        <v/>
      </c>
    </row>
    <row r="263">
      <c r="A263" s="9" t="n"/>
      <c r="B263" s="10" t="n"/>
      <c r="C263" s="11" t="n"/>
      <c r="D263" s="10" t="n"/>
      <c r="E263" s="11" t="n"/>
      <c r="F263" s="11" t="n"/>
      <c r="G263" s="12">
        <f>IF($B263="","",C263*D263)</f>
        <v/>
      </c>
      <c r="H263" s="12">
        <f>IF($B263="","",G263*(설정!$B$2+설정!$B$3))</f>
        <v/>
      </c>
      <c r="I263" s="12">
        <f>IF($B263="","",G263-H263)</f>
        <v/>
      </c>
      <c r="J263" s="12">
        <f>IF($B263="","",E263*D263+F263)</f>
        <v/>
      </c>
      <c r="K263" s="12">
        <f>IF($B263="","",I263-J263)</f>
        <v/>
      </c>
      <c r="L263" s="13">
        <f>IF($B263="","",IFERROR(K263/G263,0))</f>
        <v/>
      </c>
    </row>
    <row r="264">
      <c r="A264" s="9" t="n"/>
      <c r="B264" s="10" t="n"/>
      <c r="C264" s="11" t="n"/>
      <c r="D264" s="10" t="n"/>
      <c r="E264" s="11" t="n"/>
      <c r="F264" s="11" t="n"/>
      <c r="G264" s="12">
        <f>IF($B264="","",C264*D264)</f>
        <v/>
      </c>
      <c r="H264" s="12">
        <f>IF($B264="","",G264*(설정!$B$2+설정!$B$3))</f>
        <v/>
      </c>
      <c r="I264" s="12">
        <f>IF($B264="","",G264-H264)</f>
        <v/>
      </c>
      <c r="J264" s="12">
        <f>IF($B264="","",E264*D264+F264)</f>
        <v/>
      </c>
      <c r="K264" s="12">
        <f>IF($B264="","",I264-J264)</f>
        <v/>
      </c>
      <c r="L264" s="13">
        <f>IF($B264="","",IFERROR(K264/G264,0))</f>
        <v/>
      </c>
    </row>
    <row r="265">
      <c r="A265" s="9" t="n"/>
      <c r="B265" s="10" t="n"/>
      <c r="C265" s="11" t="n"/>
      <c r="D265" s="10" t="n"/>
      <c r="E265" s="11" t="n"/>
      <c r="F265" s="11" t="n"/>
      <c r="G265" s="12">
        <f>IF($B265="","",C265*D265)</f>
        <v/>
      </c>
      <c r="H265" s="12">
        <f>IF($B265="","",G265*(설정!$B$2+설정!$B$3))</f>
        <v/>
      </c>
      <c r="I265" s="12">
        <f>IF($B265="","",G265-H265)</f>
        <v/>
      </c>
      <c r="J265" s="12">
        <f>IF($B265="","",E265*D265+F265)</f>
        <v/>
      </c>
      <c r="K265" s="12">
        <f>IF($B265="","",I265-J265)</f>
        <v/>
      </c>
      <c r="L265" s="13">
        <f>IF($B265="","",IFERROR(K265/G265,0))</f>
        <v/>
      </c>
    </row>
    <row r="266">
      <c r="A266" s="9" t="n"/>
      <c r="B266" s="10" t="n"/>
      <c r="C266" s="11" t="n"/>
      <c r="D266" s="10" t="n"/>
      <c r="E266" s="11" t="n"/>
      <c r="F266" s="11" t="n"/>
      <c r="G266" s="12">
        <f>IF($B266="","",C266*D266)</f>
        <v/>
      </c>
      <c r="H266" s="12">
        <f>IF($B266="","",G266*(설정!$B$2+설정!$B$3))</f>
        <v/>
      </c>
      <c r="I266" s="12">
        <f>IF($B266="","",G266-H266)</f>
        <v/>
      </c>
      <c r="J266" s="12">
        <f>IF($B266="","",E266*D266+F266)</f>
        <v/>
      </c>
      <c r="K266" s="12">
        <f>IF($B266="","",I266-J266)</f>
        <v/>
      </c>
      <c r="L266" s="13">
        <f>IF($B266="","",IFERROR(K266/G266,0))</f>
        <v/>
      </c>
    </row>
    <row r="267">
      <c r="A267" s="9" t="n"/>
      <c r="B267" s="10" t="n"/>
      <c r="C267" s="11" t="n"/>
      <c r="D267" s="10" t="n"/>
      <c r="E267" s="11" t="n"/>
      <c r="F267" s="11" t="n"/>
      <c r="G267" s="12">
        <f>IF($B267="","",C267*D267)</f>
        <v/>
      </c>
      <c r="H267" s="12">
        <f>IF($B267="","",G267*(설정!$B$2+설정!$B$3))</f>
        <v/>
      </c>
      <c r="I267" s="12">
        <f>IF($B267="","",G267-H267)</f>
        <v/>
      </c>
      <c r="J267" s="12">
        <f>IF($B267="","",E267*D267+F267)</f>
        <v/>
      </c>
      <c r="K267" s="12">
        <f>IF($B267="","",I267-J267)</f>
        <v/>
      </c>
      <c r="L267" s="13">
        <f>IF($B267="","",IFERROR(K267/G267,0))</f>
        <v/>
      </c>
    </row>
    <row r="268">
      <c r="A268" s="9" t="n"/>
      <c r="B268" s="10" t="n"/>
      <c r="C268" s="11" t="n"/>
      <c r="D268" s="10" t="n"/>
      <c r="E268" s="11" t="n"/>
      <c r="F268" s="11" t="n"/>
      <c r="G268" s="12">
        <f>IF($B268="","",C268*D268)</f>
        <v/>
      </c>
      <c r="H268" s="12">
        <f>IF($B268="","",G268*(설정!$B$2+설정!$B$3))</f>
        <v/>
      </c>
      <c r="I268" s="12">
        <f>IF($B268="","",G268-H268)</f>
        <v/>
      </c>
      <c r="J268" s="12">
        <f>IF($B268="","",E268*D268+F268)</f>
        <v/>
      </c>
      <c r="K268" s="12">
        <f>IF($B268="","",I268-J268)</f>
        <v/>
      </c>
      <c r="L268" s="13">
        <f>IF($B268="","",IFERROR(K268/G268,0))</f>
        <v/>
      </c>
    </row>
    <row r="269">
      <c r="A269" s="9" t="n"/>
      <c r="B269" s="10" t="n"/>
      <c r="C269" s="11" t="n"/>
      <c r="D269" s="10" t="n"/>
      <c r="E269" s="11" t="n"/>
      <c r="F269" s="11" t="n"/>
      <c r="G269" s="12">
        <f>IF($B269="","",C269*D269)</f>
        <v/>
      </c>
      <c r="H269" s="12">
        <f>IF($B269="","",G269*(설정!$B$2+설정!$B$3))</f>
        <v/>
      </c>
      <c r="I269" s="12">
        <f>IF($B269="","",G269-H269)</f>
        <v/>
      </c>
      <c r="J269" s="12">
        <f>IF($B269="","",E269*D269+F269)</f>
        <v/>
      </c>
      <c r="K269" s="12">
        <f>IF($B269="","",I269-J269)</f>
        <v/>
      </c>
      <c r="L269" s="13">
        <f>IF($B269="","",IFERROR(K269/G269,0))</f>
        <v/>
      </c>
    </row>
    <row r="270">
      <c r="A270" s="9" t="n"/>
      <c r="B270" s="10" t="n"/>
      <c r="C270" s="11" t="n"/>
      <c r="D270" s="10" t="n"/>
      <c r="E270" s="11" t="n"/>
      <c r="F270" s="11" t="n"/>
      <c r="G270" s="12">
        <f>IF($B270="","",C270*D270)</f>
        <v/>
      </c>
      <c r="H270" s="12">
        <f>IF($B270="","",G270*(설정!$B$2+설정!$B$3))</f>
        <v/>
      </c>
      <c r="I270" s="12">
        <f>IF($B270="","",G270-H270)</f>
        <v/>
      </c>
      <c r="J270" s="12">
        <f>IF($B270="","",E270*D270+F270)</f>
        <v/>
      </c>
      <c r="K270" s="12">
        <f>IF($B270="","",I270-J270)</f>
        <v/>
      </c>
      <c r="L270" s="13">
        <f>IF($B270="","",IFERROR(K270/G270,0))</f>
        <v/>
      </c>
    </row>
    <row r="271">
      <c r="A271" s="9" t="n"/>
      <c r="B271" s="10" t="n"/>
      <c r="C271" s="11" t="n"/>
      <c r="D271" s="10" t="n"/>
      <c r="E271" s="11" t="n"/>
      <c r="F271" s="11" t="n"/>
      <c r="G271" s="12">
        <f>IF($B271="","",C271*D271)</f>
        <v/>
      </c>
      <c r="H271" s="12">
        <f>IF($B271="","",G271*(설정!$B$2+설정!$B$3))</f>
        <v/>
      </c>
      <c r="I271" s="12">
        <f>IF($B271="","",G271-H271)</f>
        <v/>
      </c>
      <c r="J271" s="12">
        <f>IF($B271="","",E271*D271+F271)</f>
        <v/>
      </c>
      <c r="K271" s="12">
        <f>IF($B271="","",I271-J271)</f>
        <v/>
      </c>
      <c r="L271" s="13">
        <f>IF($B271="","",IFERROR(K271/G271,0))</f>
        <v/>
      </c>
    </row>
    <row r="272">
      <c r="A272" s="9" t="n"/>
      <c r="B272" s="10" t="n"/>
      <c r="C272" s="11" t="n"/>
      <c r="D272" s="10" t="n"/>
      <c r="E272" s="11" t="n"/>
      <c r="F272" s="11" t="n"/>
      <c r="G272" s="12">
        <f>IF($B272="","",C272*D272)</f>
        <v/>
      </c>
      <c r="H272" s="12">
        <f>IF($B272="","",G272*(설정!$B$2+설정!$B$3))</f>
        <v/>
      </c>
      <c r="I272" s="12">
        <f>IF($B272="","",G272-H272)</f>
        <v/>
      </c>
      <c r="J272" s="12">
        <f>IF($B272="","",E272*D272+F272)</f>
        <v/>
      </c>
      <c r="K272" s="12">
        <f>IF($B272="","",I272-J272)</f>
        <v/>
      </c>
      <c r="L272" s="13">
        <f>IF($B272="","",IFERROR(K272/G272,0))</f>
        <v/>
      </c>
    </row>
    <row r="273">
      <c r="A273" s="9" t="n"/>
      <c r="B273" s="10" t="n"/>
      <c r="C273" s="11" t="n"/>
      <c r="D273" s="10" t="n"/>
      <c r="E273" s="11" t="n"/>
      <c r="F273" s="11" t="n"/>
      <c r="G273" s="12">
        <f>IF($B273="","",C273*D273)</f>
        <v/>
      </c>
      <c r="H273" s="12">
        <f>IF($B273="","",G273*(설정!$B$2+설정!$B$3))</f>
        <v/>
      </c>
      <c r="I273" s="12">
        <f>IF($B273="","",G273-H273)</f>
        <v/>
      </c>
      <c r="J273" s="12">
        <f>IF($B273="","",E273*D273+F273)</f>
        <v/>
      </c>
      <c r="K273" s="12">
        <f>IF($B273="","",I273-J273)</f>
        <v/>
      </c>
      <c r="L273" s="13">
        <f>IF($B273="","",IFERROR(K273/G273,0))</f>
        <v/>
      </c>
    </row>
    <row r="274">
      <c r="A274" s="9" t="n"/>
      <c r="B274" s="10" t="n"/>
      <c r="C274" s="11" t="n"/>
      <c r="D274" s="10" t="n"/>
      <c r="E274" s="11" t="n"/>
      <c r="F274" s="11" t="n"/>
      <c r="G274" s="12">
        <f>IF($B274="","",C274*D274)</f>
        <v/>
      </c>
      <c r="H274" s="12">
        <f>IF($B274="","",G274*(설정!$B$2+설정!$B$3))</f>
        <v/>
      </c>
      <c r="I274" s="12">
        <f>IF($B274="","",G274-H274)</f>
        <v/>
      </c>
      <c r="J274" s="12">
        <f>IF($B274="","",E274*D274+F274)</f>
        <v/>
      </c>
      <c r="K274" s="12">
        <f>IF($B274="","",I274-J274)</f>
        <v/>
      </c>
      <c r="L274" s="13">
        <f>IF($B274="","",IFERROR(K274/G274,0))</f>
        <v/>
      </c>
    </row>
    <row r="275">
      <c r="A275" s="9" t="n"/>
      <c r="B275" s="10" t="n"/>
      <c r="C275" s="11" t="n"/>
      <c r="D275" s="10" t="n"/>
      <c r="E275" s="11" t="n"/>
      <c r="F275" s="11" t="n"/>
      <c r="G275" s="12">
        <f>IF($B275="","",C275*D275)</f>
        <v/>
      </c>
      <c r="H275" s="12">
        <f>IF($B275="","",G275*(설정!$B$2+설정!$B$3))</f>
        <v/>
      </c>
      <c r="I275" s="12">
        <f>IF($B275="","",G275-H275)</f>
        <v/>
      </c>
      <c r="J275" s="12">
        <f>IF($B275="","",E275*D275+F275)</f>
        <v/>
      </c>
      <c r="K275" s="12">
        <f>IF($B275="","",I275-J275)</f>
        <v/>
      </c>
      <c r="L275" s="13">
        <f>IF($B275="","",IFERROR(K275/G275,0))</f>
        <v/>
      </c>
    </row>
    <row r="276">
      <c r="A276" s="9" t="n"/>
      <c r="B276" s="10" t="n"/>
      <c r="C276" s="11" t="n"/>
      <c r="D276" s="10" t="n"/>
      <c r="E276" s="11" t="n"/>
      <c r="F276" s="11" t="n"/>
      <c r="G276" s="12">
        <f>IF($B276="","",C276*D276)</f>
        <v/>
      </c>
      <c r="H276" s="12">
        <f>IF($B276="","",G276*(설정!$B$2+설정!$B$3))</f>
        <v/>
      </c>
      <c r="I276" s="12">
        <f>IF($B276="","",G276-H276)</f>
        <v/>
      </c>
      <c r="J276" s="12">
        <f>IF($B276="","",E276*D276+F276)</f>
        <v/>
      </c>
      <c r="K276" s="12">
        <f>IF($B276="","",I276-J276)</f>
        <v/>
      </c>
      <c r="L276" s="13">
        <f>IF($B276="","",IFERROR(K276/G276,0))</f>
        <v/>
      </c>
    </row>
    <row r="277">
      <c r="A277" s="9" t="n"/>
      <c r="B277" s="10" t="n"/>
      <c r="C277" s="11" t="n"/>
      <c r="D277" s="10" t="n"/>
      <c r="E277" s="11" t="n"/>
      <c r="F277" s="11" t="n"/>
      <c r="G277" s="12">
        <f>IF($B277="","",C277*D277)</f>
        <v/>
      </c>
      <c r="H277" s="12">
        <f>IF($B277="","",G277*(설정!$B$2+설정!$B$3))</f>
        <v/>
      </c>
      <c r="I277" s="12">
        <f>IF($B277="","",G277-H277)</f>
        <v/>
      </c>
      <c r="J277" s="12">
        <f>IF($B277="","",E277*D277+F277)</f>
        <v/>
      </c>
      <c r="K277" s="12">
        <f>IF($B277="","",I277-J277)</f>
        <v/>
      </c>
      <c r="L277" s="13">
        <f>IF($B277="","",IFERROR(K277/G277,0))</f>
        <v/>
      </c>
    </row>
    <row r="278">
      <c r="A278" s="9" t="n"/>
      <c r="B278" s="10" t="n"/>
      <c r="C278" s="11" t="n"/>
      <c r="D278" s="10" t="n"/>
      <c r="E278" s="11" t="n"/>
      <c r="F278" s="11" t="n"/>
      <c r="G278" s="12">
        <f>IF($B278="","",C278*D278)</f>
        <v/>
      </c>
      <c r="H278" s="12">
        <f>IF($B278="","",G278*(설정!$B$2+설정!$B$3))</f>
        <v/>
      </c>
      <c r="I278" s="12">
        <f>IF($B278="","",G278-H278)</f>
        <v/>
      </c>
      <c r="J278" s="12">
        <f>IF($B278="","",E278*D278+F278)</f>
        <v/>
      </c>
      <c r="K278" s="12">
        <f>IF($B278="","",I278-J278)</f>
        <v/>
      </c>
      <c r="L278" s="13">
        <f>IF($B278="","",IFERROR(K278/G278,0))</f>
        <v/>
      </c>
    </row>
    <row r="279">
      <c r="A279" s="9" t="n"/>
      <c r="B279" s="10" t="n"/>
      <c r="C279" s="11" t="n"/>
      <c r="D279" s="10" t="n"/>
      <c r="E279" s="11" t="n"/>
      <c r="F279" s="11" t="n"/>
      <c r="G279" s="12">
        <f>IF($B279="","",C279*D279)</f>
        <v/>
      </c>
      <c r="H279" s="12">
        <f>IF($B279="","",G279*(설정!$B$2+설정!$B$3))</f>
        <v/>
      </c>
      <c r="I279" s="12">
        <f>IF($B279="","",G279-H279)</f>
        <v/>
      </c>
      <c r="J279" s="12">
        <f>IF($B279="","",E279*D279+F279)</f>
        <v/>
      </c>
      <c r="K279" s="12">
        <f>IF($B279="","",I279-J279)</f>
        <v/>
      </c>
      <c r="L279" s="13">
        <f>IF($B279="","",IFERROR(K279/G279,0))</f>
        <v/>
      </c>
    </row>
    <row r="280">
      <c r="A280" s="9" t="n"/>
      <c r="B280" s="10" t="n"/>
      <c r="C280" s="11" t="n"/>
      <c r="D280" s="10" t="n"/>
      <c r="E280" s="11" t="n"/>
      <c r="F280" s="11" t="n"/>
      <c r="G280" s="12">
        <f>IF($B280="","",C280*D280)</f>
        <v/>
      </c>
      <c r="H280" s="12">
        <f>IF($B280="","",G280*(설정!$B$2+설정!$B$3))</f>
        <v/>
      </c>
      <c r="I280" s="12">
        <f>IF($B280="","",G280-H280)</f>
        <v/>
      </c>
      <c r="J280" s="12">
        <f>IF($B280="","",E280*D280+F280)</f>
        <v/>
      </c>
      <c r="K280" s="12">
        <f>IF($B280="","",I280-J280)</f>
        <v/>
      </c>
      <c r="L280" s="13">
        <f>IF($B280="","",IFERROR(K280/G280,0))</f>
        <v/>
      </c>
    </row>
    <row r="281">
      <c r="A281" s="9" t="n"/>
      <c r="B281" s="10" t="n"/>
      <c r="C281" s="11" t="n"/>
      <c r="D281" s="10" t="n"/>
      <c r="E281" s="11" t="n"/>
      <c r="F281" s="11" t="n"/>
      <c r="G281" s="12">
        <f>IF($B281="","",C281*D281)</f>
        <v/>
      </c>
      <c r="H281" s="12">
        <f>IF($B281="","",G281*(설정!$B$2+설정!$B$3))</f>
        <v/>
      </c>
      <c r="I281" s="12">
        <f>IF($B281="","",G281-H281)</f>
        <v/>
      </c>
      <c r="J281" s="12">
        <f>IF($B281="","",E281*D281+F281)</f>
        <v/>
      </c>
      <c r="K281" s="12">
        <f>IF($B281="","",I281-J281)</f>
        <v/>
      </c>
      <c r="L281" s="13">
        <f>IF($B281="","",IFERROR(K281/G281,0))</f>
        <v/>
      </c>
    </row>
    <row r="282">
      <c r="A282" s="9" t="n"/>
      <c r="B282" s="10" t="n"/>
      <c r="C282" s="11" t="n"/>
      <c r="D282" s="10" t="n"/>
      <c r="E282" s="11" t="n"/>
      <c r="F282" s="11" t="n"/>
      <c r="G282" s="12">
        <f>IF($B282="","",C282*D282)</f>
        <v/>
      </c>
      <c r="H282" s="12">
        <f>IF($B282="","",G282*(설정!$B$2+설정!$B$3))</f>
        <v/>
      </c>
      <c r="I282" s="12">
        <f>IF($B282="","",G282-H282)</f>
        <v/>
      </c>
      <c r="J282" s="12">
        <f>IF($B282="","",E282*D282+F282)</f>
        <v/>
      </c>
      <c r="K282" s="12">
        <f>IF($B282="","",I282-J282)</f>
        <v/>
      </c>
      <c r="L282" s="13">
        <f>IF($B282="","",IFERROR(K282/G282,0))</f>
        <v/>
      </c>
    </row>
    <row r="283">
      <c r="A283" s="9" t="n"/>
      <c r="B283" s="10" t="n"/>
      <c r="C283" s="11" t="n"/>
      <c r="D283" s="10" t="n"/>
      <c r="E283" s="11" t="n"/>
      <c r="F283" s="11" t="n"/>
      <c r="G283" s="12">
        <f>IF($B283="","",C283*D283)</f>
        <v/>
      </c>
      <c r="H283" s="12">
        <f>IF($B283="","",G283*(설정!$B$2+설정!$B$3))</f>
        <v/>
      </c>
      <c r="I283" s="12">
        <f>IF($B283="","",G283-H283)</f>
        <v/>
      </c>
      <c r="J283" s="12">
        <f>IF($B283="","",E283*D283+F283)</f>
        <v/>
      </c>
      <c r="K283" s="12">
        <f>IF($B283="","",I283-J283)</f>
        <v/>
      </c>
      <c r="L283" s="13">
        <f>IF($B283="","",IFERROR(K283/G283,0))</f>
        <v/>
      </c>
    </row>
    <row r="284">
      <c r="A284" s="9" t="n"/>
      <c r="B284" s="10" t="n"/>
      <c r="C284" s="11" t="n"/>
      <c r="D284" s="10" t="n"/>
      <c r="E284" s="11" t="n"/>
      <c r="F284" s="11" t="n"/>
      <c r="G284" s="12">
        <f>IF($B284="","",C284*D284)</f>
        <v/>
      </c>
      <c r="H284" s="12">
        <f>IF($B284="","",G284*(설정!$B$2+설정!$B$3))</f>
        <v/>
      </c>
      <c r="I284" s="12">
        <f>IF($B284="","",G284-H284)</f>
        <v/>
      </c>
      <c r="J284" s="12">
        <f>IF($B284="","",E284*D284+F284)</f>
        <v/>
      </c>
      <c r="K284" s="12">
        <f>IF($B284="","",I284-J284)</f>
        <v/>
      </c>
      <c r="L284" s="13">
        <f>IF($B284="","",IFERROR(K284/G284,0))</f>
        <v/>
      </c>
    </row>
    <row r="285">
      <c r="A285" s="9" t="n"/>
      <c r="B285" s="10" t="n"/>
      <c r="C285" s="11" t="n"/>
      <c r="D285" s="10" t="n"/>
      <c r="E285" s="11" t="n"/>
      <c r="F285" s="11" t="n"/>
      <c r="G285" s="12">
        <f>IF($B285="","",C285*D285)</f>
        <v/>
      </c>
      <c r="H285" s="12">
        <f>IF($B285="","",G285*(설정!$B$2+설정!$B$3))</f>
        <v/>
      </c>
      <c r="I285" s="12">
        <f>IF($B285="","",G285-H285)</f>
        <v/>
      </c>
      <c r="J285" s="12">
        <f>IF($B285="","",E285*D285+F285)</f>
        <v/>
      </c>
      <c r="K285" s="12">
        <f>IF($B285="","",I285-J285)</f>
        <v/>
      </c>
      <c r="L285" s="13">
        <f>IF($B285="","",IFERROR(K285/G285,0))</f>
        <v/>
      </c>
    </row>
    <row r="286">
      <c r="A286" s="9" t="n"/>
      <c r="B286" s="10" t="n"/>
      <c r="C286" s="11" t="n"/>
      <c r="D286" s="10" t="n"/>
      <c r="E286" s="11" t="n"/>
      <c r="F286" s="11" t="n"/>
      <c r="G286" s="12">
        <f>IF($B286="","",C286*D286)</f>
        <v/>
      </c>
      <c r="H286" s="12">
        <f>IF($B286="","",G286*(설정!$B$2+설정!$B$3))</f>
        <v/>
      </c>
      <c r="I286" s="12">
        <f>IF($B286="","",G286-H286)</f>
        <v/>
      </c>
      <c r="J286" s="12">
        <f>IF($B286="","",E286*D286+F286)</f>
        <v/>
      </c>
      <c r="K286" s="12">
        <f>IF($B286="","",I286-J286)</f>
        <v/>
      </c>
      <c r="L286" s="13">
        <f>IF($B286="","",IFERROR(K286/G286,0))</f>
        <v/>
      </c>
    </row>
    <row r="287">
      <c r="A287" s="9" t="n"/>
      <c r="B287" s="10" t="n"/>
      <c r="C287" s="11" t="n"/>
      <c r="D287" s="10" t="n"/>
      <c r="E287" s="11" t="n"/>
      <c r="F287" s="11" t="n"/>
      <c r="G287" s="12">
        <f>IF($B287="","",C287*D287)</f>
        <v/>
      </c>
      <c r="H287" s="12">
        <f>IF($B287="","",G287*(설정!$B$2+설정!$B$3))</f>
        <v/>
      </c>
      <c r="I287" s="12">
        <f>IF($B287="","",G287-H287)</f>
        <v/>
      </c>
      <c r="J287" s="12">
        <f>IF($B287="","",E287*D287+F287)</f>
        <v/>
      </c>
      <c r="K287" s="12">
        <f>IF($B287="","",I287-J287)</f>
        <v/>
      </c>
      <c r="L287" s="13">
        <f>IF($B287="","",IFERROR(K287/G287,0))</f>
        <v/>
      </c>
    </row>
    <row r="288">
      <c r="A288" s="9" t="n"/>
      <c r="B288" s="10" t="n"/>
      <c r="C288" s="11" t="n"/>
      <c r="D288" s="10" t="n"/>
      <c r="E288" s="11" t="n"/>
      <c r="F288" s="11" t="n"/>
      <c r="G288" s="12">
        <f>IF($B288="","",C288*D288)</f>
        <v/>
      </c>
      <c r="H288" s="12">
        <f>IF($B288="","",G288*(설정!$B$2+설정!$B$3))</f>
        <v/>
      </c>
      <c r="I288" s="12">
        <f>IF($B288="","",G288-H288)</f>
        <v/>
      </c>
      <c r="J288" s="12">
        <f>IF($B288="","",E288*D288+F288)</f>
        <v/>
      </c>
      <c r="K288" s="12">
        <f>IF($B288="","",I288-J288)</f>
        <v/>
      </c>
      <c r="L288" s="13">
        <f>IF($B288="","",IFERROR(K288/G288,0))</f>
        <v/>
      </c>
    </row>
    <row r="289">
      <c r="A289" s="9" t="n"/>
      <c r="B289" s="10" t="n"/>
      <c r="C289" s="11" t="n"/>
      <c r="D289" s="10" t="n"/>
      <c r="E289" s="11" t="n"/>
      <c r="F289" s="11" t="n"/>
      <c r="G289" s="12">
        <f>IF($B289="","",C289*D289)</f>
        <v/>
      </c>
      <c r="H289" s="12">
        <f>IF($B289="","",G289*(설정!$B$2+설정!$B$3))</f>
        <v/>
      </c>
      <c r="I289" s="12">
        <f>IF($B289="","",G289-H289)</f>
        <v/>
      </c>
      <c r="J289" s="12">
        <f>IF($B289="","",E289*D289+F289)</f>
        <v/>
      </c>
      <c r="K289" s="12">
        <f>IF($B289="","",I289-J289)</f>
        <v/>
      </c>
      <c r="L289" s="13">
        <f>IF($B289="","",IFERROR(K289/G289,0))</f>
        <v/>
      </c>
    </row>
    <row r="290">
      <c r="A290" s="9" t="n"/>
      <c r="B290" s="10" t="n"/>
      <c r="C290" s="11" t="n"/>
      <c r="D290" s="10" t="n"/>
      <c r="E290" s="11" t="n"/>
      <c r="F290" s="11" t="n"/>
      <c r="G290" s="12">
        <f>IF($B290="","",C290*D290)</f>
        <v/>
      </c>
      <c r="H290" s="12">
        <f>IF($B290="","",G290*(설정!$B$2+설정!$B$3))</f>
        <v/>
      </c>
      <c r="I290" s="12">
        <f>IF($B290="","",G290-H290)</f>
        <v/>
      </c>
      <c r="J290" s="12">
        <f>IF($B290="","",E290*D290+F290)</f>
        <v/>
      </c>
      <c r="K290" s="12">
        <f>IF($B290="","",I290-J290)</f>
        <v/>
      </c>
      <c r="L290" s="13">
        <f>IF($B290="","",IFERROR(K290/G290,0))</f>
        <v/>
      </c>
    </row>
    <row r="291">
      <c r="A291" s="9" t="n"/>
      <c r="B291" s="10" t="n"/>
      <c r="C291" s="11" t="n"/>
      <c r="D291" s="10" t="n"/>
      <c r="E291" s="11" t="n"/>
      <c r="F291" s="11" t="n"/>
      <c r="G291" s="12">
        <f>IF($B291="","",C291*D291)</f>
        <v/>
      </c>
      <c r="H291" s="12">
        <f>IF($B291="","",G291*(설정!$B$2+설정!$B$3))</f>
        <v/>
      </c>
      <c r="I291" s="12">
        <f>IF($B291="","",G291-H291)</f>
        <v/>
      </c>
      <c r="J291" s="12">
        <f>IF($B291="","",E291*D291+F291)</f>
        <v/>
      </c>
      <c r="K291" s="12">
        <f>IF($B291="","",I291-J291)</f>
        <v/>
      </c>
      <c r="L291" s="13">
        <f>IF($B291="","",IFERROR(K291/G291,0))</f>
        <v/>
      </c>
    </row>
    <row r="292">
      <c r="A292" s="9" t="n"/>
      <c r="B292" s="10" t="n"/>
      <c r="C292" s="11" t="n"/>
      <c r="D292" s="10" t="n"/>
      <c r="E292" s="11" t="n"/>
      <c r="F292" s="11" t="n"/>
      <c r="G292" s="12">
        <f>IF($B292="","",C292*D292)</f>
        <v/>
      </c>
      <c r="H292" s="12">
        <f>IF($B292="","",G292*(설정!$B$2+설정!$B$3))</f>
        <v/>
      </c>
      <c r="I292" s="12">
        <f>IF($B292="","",G292-H292)</f>
        <v/>
      </c>
      <c r="J292" s="12">
        <f>IF($B292="","",E292*D292+F292)</f>
        <v/>
      </c>
      <c r="K292" s="12">
        <f>IF($B292="","",I292-J292)</f>
        <v/>
      </c>
      <c r="L292" s="13">
        <f>IF($B292="","",IFERROR(K292/G292,0))</f>
        <v/>
      </c>
    </row>
    <row r="293">
      <c r="A293" s="9" t="n"/>
      <c r="B293" s="10" t="n"/>
      <c r="C293" s="11" t="n"/>
      <c r="D293" s="10" t="n"/>
      <c r="E293" s="11" t="n"/>
      <c r="F293" s="11" t="n"/>
      <c r="G293" s="12">
        <f>IF($B293="","",C293*D293)</f>
        <v/>
      </c>
      <c r="H293" s="12">
        <f>IF($B293="","",G293*(설정!$B$2+설정!$B$3))</f>
        <v/>
      </c>
      <c r="I293" s="12">
        <f>IF($B293="","",G293-H293)</f>
        <v/>
      </c>
      <c r="J293" s="12">
        <f>IF($B293="","",E293*D293+F293)</f>
        <v/>
      </c>
      <c r="K293" s="12">
        <f>IF($B293="","",I293-J293)</f>
        <v/>
      </c>
      <c r="L293" s="13">
        <f>IF($B293="","",IFERROR(K293/G293,0))</f>
        <v/>
      </c>
    </row>
    <row r="294">
      <c r="A294" s="9" t="n"/>
      <c r="B294" s="10" t="n"/>
      <c r="C294" s="11" t="n"/>
      <c r="D294" s="10" t="n"/>
      <c r="E294" s="11" t="n"/>
      <c r="F294" s="11" t="n"/>
      <c r="G294" s="12">
        <f>IF($B294="","",C294*D294)</f>
        <v/>
      </c>
      <c r="H294" s="12">
        <f>IF($B294="","",G294*(설정!$B$2+설정!$B$3))</f>
        <v/>
      </c>
      <c r="I294" s="12">
        <f>IF($B294="","",G294-H294)</f>
        <v/>
      </c>
      <c r="J294" s="12">
        <f>IF($B294="","",E294*D294+F294)</f>
        <v/>
      </c>
      <c r="K294" s="12">
        <f>IF($B294="","",I294-J294)</f>
        <v/>
      </c>
      <c r="L294" s="13">
        <f>IF($B294="","",IFERROR(K294/G294,0))</f>
        <v/>
      </c>
    </row>
    <row r="295">
      <c r="A295" s="9" t="n"/>
      <c r="B295" s="10" t="n"/>
      <c r="C295" s="11" t="n"/>
      <c r="D295" s="10" t="n"/>
      <c r="E295" s="11" t="n"/>
      <c r="F295" s="11" t="n"/>
      <c r="G295" s="12">
        <f>IF($B295="","",C295*D295)</f>
        <v/>
      </c>
      <c r="H295" s="12">
        <f>IF($B295="","",G295*(설정!$B$2+설정!$B$3))</f>
        <v/>
      </c>
      <c r="I295" s="12">
        <f>IF($B295="","",G295-H295)</f>
        <v/>
      </c>
      <c r="J295" s="12">
        <f>IF($B295="","",E295*D295+F295)</f>
        <v/>
      </c>
      <c r="K295" s="12">
        <f>IF($B295="","",I295-J295)</f>
        <v/>
      </c>
      <c r="L295" s="13">
        <f>IF($B295="","",IFERROR(K295/G295,0))</f>
        <v/>
      </c>
    </row>
    <row r="296">
      <c r="A296" s="9" t="n"/>
      <c r="B296" s="10" t="n"/>
      <c r="C296" s="11" t="n"/>
      <c r="D296" s="10" t="n"/>
      <c r="E296" s="11" t="n"/>
      <c r="F296" s="11" t="n"/>
      <c r="G296" s="12">
        <f>IF($B296="","",C296*D296)</f>
        <v/>
      </c>
      <c r="H296" s="12">
        <f>IF($B296="","",G296*(설정!$B$2+설정!$B$3))</f>
        <v/>
      </c>
      <c r="I296" s="12">
        <f>IF($B296="","",G296-H296)</f>
        <v/>
      </c>
      <c r="J296" s="12">
        <f>IF($B296="","",E296*D296+F296)</f>
        <v/>
      </c>
      <c r="K296" s="12">
        <f>IF($B296="","",I296-J296)</f>
        <v/>
      </c>
      <c r="L296" s="13">
        <f>IF($B296="","",IFERROR(K296/G296,0))</f>
        <v/>
      </c>
    </row>
    <row r="297">
      <c r="A297" s="9" t="n"/>
      <c r="B297" s="10" t="n"/>
      <c r="C297" s="11" t="n"/>
      <c r="D297" s="10" t="n"/>
      <c r="E297" s="11" t="n"/>
      <c r="F297" s="11" t="n"/>
      <c r="G297" s="12">
        <f>IF($B297="","",C297*D297)</f>
        <v/>
      </c>
      <c r="H297" s="12">
        <f>IF($B297="","",G297*(설정!$B$2+설정!$B$3))</f>
        <v/>
      </c>
      <c r="I297" s="12">
        <f>IF($B297="","",G297-H297)</f>
        <v/>
      </c>
      <c r="J297" s="12">
        <f>IF($B297="","",E297*D297+F297)</f>
        <v/>
      </c>
      <c r="K297" s="12">
        <f>IF($B297="","",I297-J297)</f>
        <v/>
      </c>
      <c r="L297" s="13">
        <f>IF($B297="","",IFERROR(K297/G297,0))</f>
        <v/>
      </c>
    </row>
    <row r="298">
      <c r="A298" s="9" t="n"/>
      <c r="B298" s="10" t="n"/>
      <c r="C298" s="11" t="n"/>
      <c r="D298" s="10" t="n"/>
      <c r="E298" s="11" t="n"/>
      <c r="F298" s="11" t="n"/>
      <c r="G298" s="12">
        <f>IF($B298="","",C298*D298)</f>
        <v/>
      </c>
      <c r="H298" s="12">
        <f>IF($B298="","",G298*(설정!$B$2+설정!$B$3))</f>
        <v/>
      </c>
      <c r="I298" s="12">
        <f>IF($B298="","",G298-H298)</f>
        <v/>
      </c>
      <c r="J298" s="12">
        <f>IF($B298="","",E298*D298+F298)</f>
        <v/>
      </c>
      <c r="K298" s="12">
        <f>IF($B298="","",I298-J298)</f>
        <v/>
      </c>
      <c r="L298" s="13">
        <f>IF($B298="","",IFERROR(K298/G298,0))</f>
        <v/>
      </c>
    </row>
    <row r="299">
      <c r="A299" s="9" t="n"/>
      <c r="B299" s="10" t="n"/>
      <c r="C299" s="11" t="n"/>
      <c r="D299" s="10" t="n"/>
      <c r="E299" s="11" t="n"/>
      <c r="F299" s="11" t="n"/>
      <c r="G299" s="12">
        <f>IF($B299="","",C299*D299)</f>
        <v/>
      </c>
      <c r="H299" s="12">
        <f>IF($B299="","",G299*(설정!$B$2+설정!$B$3))</f>
        <v/>
      </c>
      <c r="I299" s="12">
        <f>IF($B299="","",G299-H299)</f>
        <v/>
      </c>
      <c r="J299" s="12">
        <f>IF($B299="","",E299*D299+F299)</f>
        <v/>
      </c>
      <c r="K299" s="12">
        <f>IF($B299="","",I299-J299)</f>
        <v/>
      </c>
      <c r="L299" s="13">
        <f>IF($B299="","",IFERROR(K299/G299,0))</f>
        <v/>
      </c>
    </row>
    <row r="300">
      <c r="A300" s="9" t="n"/>
      <c r="B300" s="10" t="n"/>
      <c r="C300" s="11" t="n"/>
      <c r="D300" s="10" t="n"/>
      <c r="E300" s="11" t="n"/>
      <c r="F300" s="11" t="n"/>
      <c r="G300" s="12">
        <f>IF($B300="","",C300*D300)</f>
        <v/>
      </c>
      <c r="H300" s="12">
        <f>IF($B300="","",G300*(설정!$B$2+설정!$B$3))</f>
        <v/>
      </c>
      <c r="I300" s="12">
        <f>IF($B300="","",G300-H300)</f>
        <v/>
      </c>
      <c r="J300" s="12">
        <f>IF($B300="","",E300*D300+F300)</f>
        <v/>
      </c>
      <c r="K300" s="12">
        <f>IF($B300="","",I300-J300)</f>
        <v/>
      </c>
      <c r="L300" s="13">
        <f>IF($B300="","",IFERROR(K300/G300,0))</f>
        <v/>
      </c>
    </row>
    <row r="301">
      <c r="A301" s="9" t="n"/>
      <c r="B301" s="10" t="n"/>
      <c r="C301" s="11" t="n"/>
      <c r="D301" s="10" t="n"/>
      <c r="E301" s="11" t="n"/>
      <c r="F301" s="11" t="n"/>
      <c r="G301" s="12">
        <f>IF($B301="","",C301*D301)</f>
        <v/>
      </c>
      <c r="H301" s="12">
        <f>IF($B301="","",G301*(설정!$B$2+설정!$B$3))</f>
        <v/>
      </c>
      <c r="I301" s="12">
        <f>IF($B301="","",G301-H301)</f>
        <v/>
      </c>
      <c r="J301" s="12">
        <f>IF($B301="","",E301*D301+F301)</f>
        <v/>
      </c>
      <c r="K301" s="12">
        <f>IF($B301="","",I301-J301)</f>
        <v/>
      </c>
      <c r="L301" s="13">
        <f>IF($B301="","",IFERROR(K301/G301,0))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4" t="inlineStr">
        <is>
          <t>누적 실적 요약</t>
        </is>
      </c>
    </row>
    <row r="2">
      <c r="A2" s="4" t="inlineStr">
        <is>
          <t>총 매출</t>
        </is>
      </c>
      <c r="B2" s="15">
        <f>SUM(판매기록!G2:G301)</f>
        <v/>
      </c>
    </row>
    <row r="3">
      <c r="A3" s="4" t="inlineStr">
        <is>
          <t>총 수수료</t>
        </is>
      </c>
      <c r="B3" s="15">
        <f>SUM(판매기록!H2:H301)</f>
        <v/>
      </c>
    </row>
    <row r="4">
      <c r="A4" s="4" t="inlineStr">
        <is>
          <t>총 정산예정액</t>
        </is>
      </c>
      <c r="B4" s="15">
        <f>SUM(판매기록!I2:I301)</f>
        <v/>
      </c>
    </row>
    <row r="5">
      <c r="A5" s="4" t="inlineStr">
        <is>
          <t>총 원가</t>
        </is>
      </c>
      <c r="B5" s="15">
        <f>SUM(판매기록!J2:J301)</f>
        <v/>
      </c>
    </row>
    <row r="6">
      <c r="A6" s="4" t="inlineStr">
        <is>
          <t>총 순이익</t>
        </is>
      </c>
      <c r="B6" s="15">
        <f>SUM(판매기록!K2:K301)</f>
        <v/>
      </c>
    </row>
    <row r="7">
      <c r="A7" s="4" t="inlineStr">
        <is>
          <t>평균 마진율</t>
        </is>
      </c>
      <c r="B7" s="16">
        <f>IFERROR(B6/B2,0)</f>
        <v/>
      </c>
    </row>
    <row r="8">
      <c r="A8" s="4" t="inlineStr">
        <is>
          <t>판매 건수</t>
        </is>
      </c>
      <c r="B8" s="17">
        <f>COUNTIF(판매기록!B2:B301,"&lt;&gt;")</f>
        <v/>
      </c>
    </row>
    <row r="9">
      <c r="A9" s="4" t="inlineStr">
        <is>
          <t>목표 진척률</t>
        </is>
      </c>
      <c r="B9" s="16">
        <f>IFERROR(B6/설정!$B$5,0)</f>
        <v/>
      </c>
    </row>
    <row r="11">
      <c r="A11" s="14" t="inlineStr">
        <is>
          <t>월별 실적</t>
        </is>
      </c>
    </row>
    <row r="12">
      <c r="A12" s="3" t="inlineStr">
        <is>
          <t>월</t>
        </is>
      </c>
      <c r="B12" s="3" t="inlineStr">
        <is>
          <t>매출</t>
        </is>
      </c>
      <c r="C12" s="3" t="inlineStr">
        <is>
          <t>수수료</t>
        </is>
      </c>
      <c r="D12" s="3" t="inlineStr">
        <is>
          <t>정산예정</t>
        </is>
      </c>
      <c r="E12" s="3" t="inlineStr">
        <is>
          <t>원가</t>
        </is>
      </c>
      <c r="F12" s="3" t="inlineStr">
        <is>
          <t>순이익</t>
        </is>
      </c>
      <c r="G12" s="3" t="inlineStr">
        <is>
          <t>건수</t>
        </is>
      </c>
      <c r="H12" s="3" t="inlineStr">
        <is>
          <t>마진율</t>
        </is>
      </c>
    </row>
    <row r="13">
      <c r="A13" s="18" t="n">
        <v>46235</v>
      </c>
      <c r="B13" s="12">
        <f>SUMIFS(판매기록!$G$2:$G$301,판매기록!$A$2:$A$301,"&gt;="&amp;$A13,판매기록!$A$2:$A$301,"&lt;"&amp;EDATE($A13,1))</f>
        <v/>
      </c>
      <c r="C13" s="12">
        <f>SUMIFS(판매기록!$H$2:$H$301,판매기록!$A$2:$A$301,"&gt;="&amp;$A13,판매기록!$A$2:$A$301,"&lt;"&amp;EDATE($A13,1))</f>
        <v/>
      </c>
      <c r="D13" s="12">
        <f>SUMIFS(판매기록!$I$2:$I$301,판매기록!$A$2:$A$301,"&gt;="&amp;$A13,판매기록!$A$2:$A$301,"&lt;"&amp;EDATE($A13,1))</f>
        <v/>
      </c>
      <c r="E13" s="12">
        <f>SUMIFS(판매기록!$J$2:$J$301,판매기록!$A$2:$A$301,"&gt;="&amp;$A13,판매기록!$A$2:$A$301,"&lt;"&amp;EDATE($A13,1))</f>
        <v/>
      </c>
      <c r="F13" s="12">
        <f>D13-E13</f>
        <v/>
      </c>
      <c r="G13" s="19">
        <f>COUNTIFS(판매기록!$A$2:$A$301,"&gt;="&amp;$A13,판매기록!$A$2:$A$301,"&lt;"&amp;EDATE($A13,1),판매기록!$B$2:$B$301,"&lt;&gt;")</f>
        <v/>
      </c>
      <c r="H13" s="13">
        <f>IFERROR(F13/B13,0)</f>
        <v/>
      </c>
    </row>
    <row r="14">
      <c r="A14" s="18" t="n">
        <v>46266</v>
      </c>
      <c r="B14" s="12">
        <f>SUMIFS(판매기록!$G$2:$G$301,판매기록!$A$2:$A$301,"&gt;="&amp;$A14,판매기록!$A$2:$A$301,"&lt;"&amp;EDATE($A14,1))</f>
        <v/>
      </c>
      <c r="C14" s="12">
        <f>SUMIFS(판매기록!$H$2:$H$301,판매기록!$A$2:$A$301,"&gt;="&amp;$A14,판매기록!$A$2:$A$301,"&lt;"&amp;EDATE($A14,1))</f>
        <v/>
      </c>
      <c r="D14" s="12">
        <f>SUMIFS(판매기록!$I$2:$I$301,판매기록!$A$2:$A$301,"&gt;="&amp;$A14,판매기록!$A$2:$A$301,"&lt;"&amp;EDATE($A14,1))</f>
        <v/>
      </c>
      <c r="E14" s="12">
        <f>SUMIFS(판매기록!$J$2:$J$301,판매기록!$A$2:$A$301,"&gt;="&amp;$A14,판매기록!$A$2:$A$301,"&lt;"&amp;EDATE($A14,1))</f>
        <v/>
      </c>
      <c r="F14" s="12">
        <f>D14-E14</f>
        <v/>
      </c>
      <c r="G14" s="19">
        <f>COUNTIFS(판매기록!$A$2:$A$301,"&gt;="&amp;$A14,판매기록!$A$2:$A$301,"&lt;"&amp;EDATE($A14,1),판매기록!$B$2:$B$301,"&lt;&gt;")</f>
        <v/>
      </c>
      <c r="H14" s="13">
        <f>IFERROR(F14/B14,0)</f>
        <v/>
      </c>
    </row>
    <row r="15">
      <c r="A15" s="18" t="n">
        <v>46296</v>
      </c>
      <c r="B15" s="12">
        <f>SUMIFS(판매기록!$G$2:$G$301,판매기록!$A$2:$A$301,"&gt;="&amp;$A15,판매기록!$A$2:$A$301,"&lt;"&amp;EDATE($A15,1))</f>
        <v/>
      </c>
      <c r="C15" s="12">
        <f>SUMIFS(판매기록!$H$2:$H$301,판매기록!$A$2:$A$301,"&gt;="&amp;$A15,판매기록!$A$2:$A$301,"&lt;"&amp;EDATE($A15,1))</f>
        <v/>
      </c>
      <c r="D15" s="12">
        <f>SUMIFS(판매기록!$I$2:$I$301,판매기록!$A$2:$A$301,"&gt;="&amp;$A15,판매기록!$A$2:$A$301,"&lt;"&amp;EDATE($A15,1))</f>
        <v/>
      </c>
      <c r="E15" s="12">
        <f>SUMIFS(판매기록!$J$2:$J$301,판매기록!$A$2:$A$301,"&gt;="&amp;$A15,판매기록!$A$2:$A$301,"&lt;"&amp;EDATE($A15,1))</f>
        <v/>
      </c>
      <c r="F15" s="12">
        <f>D15-E15</f>
        <v/>
      </c>
      <c r="G15" s="19">
        <f>COUNTIFS(판매기록!$A$2:$A$301,"&gt;="&amp;$A15,판매기록!$A$2:$A$301,"&lt;"&amp;EDATE($A15,1),판매기록!$B$2:$B$301,"&lt;&gt;")</f>
        <v/>
      </c>
      <c r="H15" s="13">
        <f>IFERROR(F15/B15,0)</f>
        <v/>
      </c>
    </row>
    <row r="16">
      <c r="A16" s="18" t="n">
        <v>46327</v>
      </c>
      <c r="B16" s="12">
        <f>SUMIFS(판매기록!$G$2:$G$301,판매기록!$A$2:$A$301,"&gt;="&amp;$A16,판매기록!$A$2:$A$301,"&lt;"&amp;EDATE($A16,1))</f>
        <v/>
      </c>
      <c r="C16" s="12">
        <f>SUMIFS(판매기록!$H$2:$H$301,판매기록!$A$2:$A$301,"&gt;="&amp;$A16,판매기록!$A$2:$A$301,"&lt;"&amp;EDATE($A16,1))</f>
        <v/>
      </c>
      <c r="D16" s="12">
        <f>SUMIFS(판매기록!$I$2:$I$301,판매기록!$A$2:$A$301,"&gt;="&amp;$A16,판매기록!$A$2:$A$301,"&lt;"&amp;EDATE($A16,1))</f>
        <v/>
      </c>
      <c r="E16" s="12">
        <f>SUMIFS(판매기록!$J$2:$J$301,판매기록!$A$2:$A$301,"&gt;="&amp;$A16,판매기록!$A$2:$A$301,"&lt;"&amp;EDATE($A16,1))</f>
        <v/>
      </c>
      <c r="F16" s="12">
        <f>D16-E16</f>
        <v/>
      </c>
      <c r="G16" s="19">
        <f>COUNTIFS(판매기록!$A$2:$A$301,"&gt;="&amp;$A16,판매기록!$A$2:$A$301,"&lt;"&amp;EDATE($A16,1),판매기록!$B$2:$B$301,"&lt;&gt;")</f>
        <v/>
      </c>
      <c r="H16" s="13">
        <f>IFERROR(F16/B16,0)</f>
        <v/>
      </c>
    </row>
    <row r="17">
      <c r="A17" s="18" t="n">
        <v>46357</v>
      </c>
      <c r="B17" s="12">
        <f>SUMIFS(판매기록!$G$2:$G$301,판매기록!$A$2:$A$301,"&gt;="&amp;$A17,판매기록!$A$2:$A$301,"&lt;"&amp;EDATE($A17,1))</f>
        <v/>
      </c>
      <c r="C17" s="12">
        <f>SUMIFS(판매기록!$H$2:$H$301,판매기록!$A$2:$A$301,"&gt;="&amp;$A17,판매기록!$A$2:$A$301,"&lt;"&amp;EDATE($A17,1))</f>
        <v/>
      </c>
      <c r="D17" s="12">
        <f>SUMIFS(판매기록!$I$2:$I$301,판매기록!$A$2:$A$301,"&gt;="&amp;$A17,판매기록!$A$2:$A$301,"&lt;"&amp;EDATE($A17,1))</f>
        <v/>
      </c>
      <c r="E17" s="12">
        <f>SUMIFS(판매기록!$J$2:$J$301,판매기록!$A$2:$A$301,"&gt;="&amp;$A17,판매기록!$A$2:$A$301,"&lt;"&amp;EDATE($A17,1))</f>
        <v/>
      </c>
      <c r="F17" s="12">
        <f>D17-E17</f>
        <v/>
      </c>
      <c r="G17" s="19">
        <f>COUNTIFS(판매기록!$A$2:$A$301,"&gt;="&amp;$A17,판매기록!$A$2:$A$301,"&lt;"&amp;EDATE($A17,1),판매기록!$B$2:$B$301,"&lt;&gt;")</f>
        <v/>
      </c>
      <c r="H17" s="13">
        <f>IFERROR(F17/B17,0)</f>
        <v/>
      </c>
    </row>
    <row r="18">
      <c r="A18" s="18" t="n">
        <v>46388</v>
      </c>
      <c r="B18" s="12">
        <f>SUMIFS(판매기록!$G$2:$G$301,판매기록!$A$2:$A$301,"&gt;="&amp;$A18,판매기록!$A$2:$A$301,"&lt;"&amp;EDATE($A18,1))</f>
        <v/>
      </c>
      <c r="C18" s="12">
        <f>SUMIFS(판매기록!$H$2:$H$301,판매기록!$A$2:$A$301,"&gt;="&amp;$A18,판매기록!$A$2:$A$301,"&lt;"&amp;EDATE($A18,1))</f>
        <v/>
      </c>
      <c r="D18" s="12">
        <f>SUMIFS(판매기록!$I$2:$I$301,판매기록!$A$2:$A$301,"&gt;="&amp;$A18,판매기록!$A$2:$A$301,"&lt;"&amp;EDATE($A18,1))</f>
        <v/>
      </c>
      <c r="E18" s="12">
        <f>SUMIFS(판매기록!$J$2:$J$301,판매기록!$A$2:$A$301,"&gt;="&amp;$A18,판매기록!$A$2:$A$301,"&lt;"&amp;EDATE($A18,1))</f>
        <v/>
      </c>
      <c r="F18" s="12">
        <f>D18-E18</f>
        <v/>
      </c>
      <c r="G18" s="19">
        <f>COUNTIFS(판매기록!$A$2:$A$301,"&gt;="&amp;$A18,판매기록!$A$2:$A$301,"&lt;"&amp;EDATE($A18,1),판매기록!$B$2:$B$301,"&lt;&gt;")</f>
        <v/>
      </c>
      <c r="H18" s="13">
        <f>IFERROR(F18/B18,0)</f>
        <v/>
      </c>
    </row>
    <row r="19">
      <c r="A19" s="18" t="n">
        <v>46419</v>
      </c>
      <c r="B19" s="12">
        <f>SUMIFS(판매기록!$G$2:$G$301,판매기록!$A$2:$A$301,"&gt;="&amp;$A19,판매기록!$A$2:$A$301,"&lt;"&amp;EDATE($A19,1))</f>
        <v/>
      </c>
      <c r="C19" s="12">
        <f>SUMIFS(판매기록!$H$2:$H$301,판매기록!$A$2:$A$301,"&gt;="&amp;$A19,판매기록!$A$2:$A$301,"&lt;"&amp;EDATE($A19,1))</f>
        <v/>
      </c>
      <c r="D19" s="12">
        <f>SUMIFS(판매기록!$I$2:$I$301,판매기록!$A$2:$A$301,"&gt;="&amp;$A19,판매기록!$A$2:$A$301,"&lt;"&amp;EDATE($A19,1))</f>
        <v/>
      </c>
      <c r="E19" s="12">
        <f>SUMIFS(판매기록!$J$2:$J$301,판매기록!$A$2:$A$301,"&gt;="&amp;$A19,판매기록!$A$2:$A$301,"&lt;"&amp;EDATE($A19,1))</f>
        <v/>
      </c>
      <c r="F19" s="12">
        <f>D19-E19</f>
        <v/>
      </c>
      <c r="G19" s="19">
        <f>COUNTIFS(판매기록!$A$2:$A$301,"&gt;="&amp;$A19,판매기록!$A$2:$A$301,"&lt;"&amp;EDATE($A19,1),판매기록!$B$2:$B$301,"&lt;&gt;")</f>
        <v/>
      </c>
      <c r="H19" s="13">
        <f>IFERROR(F19/B19,0)</f>
        <v/>
      </c>
    </row>
    <row r="20">
      <c r="A20" s="18" t="n">
        <v>46447</v>
      </c>
      <c r="B20" s="12">
        <f>SUMIFS(판매기록!$G$2:$G$301,판매기록!$A$2:$A$301,"&gt;="&amp;$A20,판매기록!$A$2:$A$301,"&lt;"&amp;EDATE($A20,1))</f>
        <v/>
      </c>
      <c r="C20" s="12">
        <f>SUMIFS(판매기록!$H$2:$H$301,판매기록!$A$2:$A$301,"&gt;="&amp;$A20,판매기록!$A$2:$A$301,"&lt;"&amp;EDATE($A20,1))</f>
        <v/>
      </c>
      <c r="D20" s="12">
        <f>SUMIFS(판매기록!$I$2:$I$301,판매기록!$A$2:$A$301,"&gt;="&amp;$A20,판매기록!$A$2:$A$301,"&lt;"&amp;EDATE($A20,1))</f>
        <v/>
      </c>
      <c r="E20" s="12">
        <f>SUMIFS(판매기록!$J$2:$J$301,판매기록!$A$2:$A$301,"&gt;="&amp;$A20,판매기록!$A$2:$A$301,"&lt;"&amp;EDATE($A20,1))</f>
        <v/>
      </c>
      <c r="F20" s="12">
        <f>D20-E20</f>
        <v/>
      </c>
      <c r="G20" s="19">
        <f>COUNTIFS(판매기록!$A$2:$A$301,"&gt;="&amp;$A20,판매기록!$A$2:$A$301,"&lt;"&amp;EDATE($A20,1),판매기록!$B$2:$B$301,"&lt;&gt;")</f>
        <v/>
      </c>
      <c r="H20" s="13">
        <f>IFERROR(F20/B20,0)</f>
        <v/>
      </c>
    </row>
    <row r="21">
      <c r="A21" s="18" t="n">
        <v>46478</v>
      </c>
      <c r="B21" s="12">
        <f>SUMIFS(판매기록!$G$2:$G$301,판매기록!$A$2:$A$301,"&gt;="&amp;$A21,판매기록!$A$2:$A$301,"&lt;"&amp;EDATE($A21,1))</f>
        <v/>
      </c>
      <c r="C21" s="12">
        <f>SUMIFS(판매기록!$H$2:$H$301,판매기록!$A$2:$A$301,"&gt;="&amp;$A21,판매기록!$A$2:$A$301,"&lt;"&amp;EDATE($A21,1))</f>
        <v/>
      </c>
      <c r="D21" s="12">
        <f>SUMIFS(판매기록!$I$2:$I$301,판매기록!$A$2:$A$301,"&gt;="&amp;$A21,판매기록!$A$2:$A$301,"&lt;"&amp;EDATE($A21,1))</f>
        <v/>
      </c>
      <c r="E21" s="12">
        <f>SUMIFS(판매기록!$J$2:$J$301,판매기록!$A$2:$A$301,"&gt;="&amp;$A21,판매기록!$A$2:$A$301,"&lt;"&amp;EDATE($A21,1))</f>
        <v/>
      </c>
      <c r="F21" s="12">
        <f>D21-E21</f>
        <v/>
      </c>
      <c r="G21" s="19">
        <f>COUNTIFS(판매기록!$A$2:$A$301,"&gt;="&amp;$A21,판매기록!$A$2:$A$301,"&lt;"&amp;EDATE($A21,1),판매기록!$B$2:$B$301,"&lt;&gt;")</f>
        <v/>
      </c>
      <c r="H21" s="13">
        <f>IFERROR(F21/B21,0)</f>
        <v/>
      </c>
    </row>
    <row r="22">
      <c r="A22" s="18" t="n">
        <v>46508</v>
      </c>
      <c r="B22" s="12">
        <f>SUMIFS(판매기록!$G$2:$G$301,판매기록!$A$2:$A$301,"&gt;="&amp;$A22,판매기록!$A$2:$A$301,"&lt;"&amp;EDATE($A22,1))</f>
        <v/>
      </c>
      <c r="C22" s="12">
        <f>SUMIFS(판매기록!$H$2:$H$301,판매기록!$A$2:$A$301,"&gt;="&amp;$A22,판매기록!$A$2:$A$301,"&lt;"&amp;EDATE($A22,1))</f>
        <v/>
      </c>
      <c r="D22" s="12">
        <f>SUMIFS(판매기록!$I$2:$I$301,판매기록!$A$2:$A$301,"&gt;="&amp;$A22,판매기록!$A$2:$A$301,"&lt;"&amp;EDATE($A22,1))</f>
        <v/>
      </c>
      <c r="E22" s="12">
        <f>SUMIFS(판매기록!$J$2:$J$301,판매기록!$A$2:$A$301,"&gt;="&amp;$A22,판매기록!$A$2:$A$301,"&lt;"&amp;EDATE($A22,1))</f>
        <v/>
      </c>
      <c r="F22" s="12">
        <f>D22-E22</f>
        <v/>
      </c>
      <c r="G22" s="19">
        <f>COUNTIFS(판매기록!$A$2:$A$301,"&gt;="&amp;$A22,판매기록!$A$2:$A$301,"&lt;"&amp;EDATE($A22,1),판매기록!$B$2:$B$301,"&lt;&gt;")</f>
        <v/>
      </c>
      <c r="H22" s="13">
        <f>IFERROR(F22/B22,0)</f>
        <v/>
      </c>
    </row>
    <row r="23">
      <c r="A23" s="18" t="n">
        <v>46539</v>
      </c>
      <c r="B23" s="12">
        <f>SUMIFS(판매기록!$G$2:$G$301,판매기록!$A$2:$A$301,"&gt;="&amp;$A23,판매기록!$A$2:$A$301,"&lt;"&amp;EDATE($A23,1))</f>
        <v/>
      </c>
      <c r="C23" s="12">
        <f>SUMIFS(판매기록!$H$2:$H$301,판매기록!$A$2:$A$301,"&gt;="&amp;$A23,판매기록!$A$2:$A$301,"&lt;"&amp;EDATE($A23,1))</f>
        <v/>
      </c>
      <c r="D23" s="12">
        <f>SUMIFS(판매기록!$I$2:$I$301,판매기록!$A$2:$A$301,"&gt;="&amp;$A23,판매기록!$A$2:$A$301,"&lt;"&amp;EDATE($A23,1))</f>
        <v/>
      </c>
      <c r="E23" s="12">
        <f>SUMIFS(판매기록!$J$2:$J$301,판매기록!$A$2:$A$301,"&gt;="&amp;$A23,판매기록!$A$2:$A$301,"&lt;"&amp;EDATE($A23,1))</f>
        <v/>
      </c>
      <c r="F23" s="12">
        <f>D23-E23</f>
        <v/>
      </c>
      <c r="G23" s="19">
        <f>COUNTIFS(판매기록!$A$2:$A$301,"&gt;="&amp;$A23,판매기록!$A$2:$A$301,"&lt;"&amp;EDATE($A23,1),판매기록!$B$2:$B$301,"&lt;&gt;")</f>
        <v/>
      </c>
      <c r="H23" s="13">
        <f>IFERROR(F23/B23,0)</f>
        <v/>
      </c>
    </row>
    <row r="24">
      <c r="A24" s="18" t="n">
        <v>46569</v>
      </c>
      <c r="B24" s="12">
        <f>SUMIFS(판매기록!$G$2:$G$301,판매기록!$A$2:$A$301,"&gt;="&amp;$A24,판매기록!$A$2:$A$301,"&lt;"&amp;EDATE($A24,1))</f>
        <v/>
      </c>
      <c r="C24" s="12">
        <f>SUMIFS(판매기록!$H$2:$H$301,판매기록!$A$2:$A$301,"&gt;="&amp;$A24,판매기록!$A$2:$A$301,"&lt;"&amp;EDATE($A24,1))</f>
        <v/>
      </c>
      <c r="D24" s="12">
        <f>SUMIFS(판매기록!$I$2:$I$301,판매기록!$A$2:$A$301,"&gt;="&amp;$A24,판매기록!$A$2:$A$301,"&lt;"&amp;EDATE($A24,1))</f>
        <v/>
      </c>
      <c r="E24" s="12">
        <f>SUMIFS(판매기록!$J$2:$J$301,판매기록!$A$2:$A$301,"&gt;="&amp;$A24,판매기록!$A$2:$A$301,"&lt;"&amp;EDATE($A24,1))</f>
        <v/>
      </c>
      <c r="F24" s="12">
        <f>D24-E24</f>
        <v/>
      </c>
      <c r="G24" s="19">
        <f>COUNTIFS(판매기록!$A$2:$A$301,"&gt;="&amp;$A24,판매기록!$A$2:$A$301,"&lt;"&amp;EDATE($A24,1),판매기록!$B$2:$B$301,"&lt;&gt;")</f>
        <v/>
      </c>
      <c r="H24" s="13">
        <f>IFERROR(F24/B24,0)</f>
        <v/>
      </c>
    </row>
    <row r="27">
      <c r="A27" s="14" t="inlineStr">
        <is>
          <t>상품별 조회 (상품명 입력)</t>
        </is>
      </c>
      <c r="B27" s="14" t="inlineStr">
        <is>
          <t>판매수량</t>
        </is>
      </c>
      <c r="C27" s="14" t="inlineStr">
        <is>
          <t>순이익</t>
        </is>
      </c>
    </row>
    <row r="28">
      <c r="A28" s="20" t="inlineStr">
        <is>
          <t>레이테 피크닉매트 270x210</t>
        </is>
      </c>
      <c r="B28" s="21">
        <f>SUMIFS(판매기록!$D$2:$D$301,판매기록!$B$2:$B$301,$A$28)</f>
        <v/>
      </c>
      <c r="C28" s="12">
        <f>SUMIFS(판매기록!$K$2:$K$301,판매기록!$B$2:$B$301,$A$28)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2026-08-12T13:47:03Z</dcterms:created>
  <dcterms:modified xsi:type="dcterms:W3CDTF">2026-08-12T13:47:03Z</dcterms:modified>
</cp:coreProperties>
</file>