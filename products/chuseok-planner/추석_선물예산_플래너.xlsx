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설정" sheetId="2" state="visible" r:id="rId4"/>
    <sheet name="선물리스트" sheetId="3" state="visible" r:id="rId5"/>
    <sheet name="장보기체크" sheetId="4" state="visible" r:id="rId6"/>
    <sheet name="대시보드" sheetId="5" state="visible" r:id="rId7"/>
    <sheet name="연휴일정" sheetId="6" state="visible" r:id="rId8"/>
  </sheets>
  <definedNames>
    <definedName function="false" hidden="false" name="대상그룹목록" vbProcedure="false">설정!$A$14:$A$21</definedName>
    <definedName function="false" hidden="false" name="상태목록" vbProcedure="false">설정!$B$14:$B$16</definedName>
    <definedName function="false" hidden="false" name="장보기분류" vbProcedure="false">설정!$C$14:$C$16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<sst xmlns="http://schemas.openxmlformats.org/spreadsheetml/2006/main" count="241" uniqueCount="201">
  <si>
    <t xml:space="preserve">추석 선물·예산 플래너</t>
  </si>
  <si>
    <t xml:space="preserve">추석 선물·차례 준비 예산을 한 파일에서 관리하는 엑셀 서식입니다. 매크로가 없는 순수 수식 파일이라 보안 경고 없이 열립니다 (엑셀 2010 이상 / 구글 시트 업로드 가능).</t>
  </si>
  <si>
    <t xml:space="preserve">1. 색상 규칙</t>
  </si>
  <si>
    <t xml:space="preserve">의미</t>
  </si>
  <si>
    <t xml:space="preserve">파란 글씨</t>
  </si>
  <si>
    <t xml:space="preserve">내가 직접 입력하는 칸입니다.</t>
  </si>
  <si>
    <t xml:space="preserve">노란 배경</t>
  </si>
  <si>
    <t xml:space="preserve">반드시 채워야 하는 필수 칸입니다 (파란 글씨 + 노란 배경).</t>
  </si>
  <si>
    <t xml:space="preserve">검정 글씨</t>
  </si>
  <si>
    <t xml:space="preserve">수식이 자동으로 계산하는 칸입니다. 덮어쓰면 계산이 깨집니다.</t>
  </si>
  <si>
    <t xml:space="preserve">흰 글씨 + 남색 배경</t>
  </si>
  <si>
    <t xml:space="preserve">표의 머리글입니다.</t>
  </si>
  <si>
    <t xml:space="preserve">회색 배경 행</t>
  </si>
  <si>
    <t xml:space="preserve">예시 행입니다. 내용을 지우고 내 것으로 채우세요.</t>
  </si>
  <si>
    <t xml:space="preserve">2. 쓰는 순서</t>
  </si>
  <si>
    <t xml:space="preserve">할 일</t>
  </si>
  <si>
    <t xml:space="preserve">1단계</t>
  </si>
  <si>
    <t xml:space="preserve">[설정] 시트에서 분류별 예산 3칸(선물 / 차례·장보기 / 여행·교통)을 내 사정에 맞게 고칩니다.</t>
  </si>
  <si>
    <t xml:space="preserve">2단계</t>
  </si>
  <si>
    <t xml:space="preserve">[설정] 시트의 대상 그룹 목록 8칸을 내 가족 구성에 맞게 고칩니다. 고치면 드롭다운과 대시보드 집계가 함께 따라갑니다.</t>
  </si>
  <si>
    <t xml:space="preserve">3단계</t>
  </si>
  <si>
    <t xml:space="preserve">[선물리스트]에 줄 사람과 선물을 한 줄씩 적습니다. 대상 그룹과 상태는 드롭다운에서 고릅니다.</t>
  </si>
  <si>
    <t xml:space="preserve">4단계</t>
  </si>
  <si>
    <t xml:space="preserve">[장보기체크]에 차례상·음식·생활용품을 적고, 사고 나면 '구매 완료' 칸에 O 를 넣습니다.</t>
  </si>
  <si>
    <t xml:space="preserve">5단계</t>
  </si>
  <si>
    <t xml:space="preserve">[대시보드]에서 예산 대비 지출, 잔여 예산, 그룹별 지출, 진행률을 확인합니다. 입력 칸이 없는 시트입니다.</t>
  </si>
  <si>
    <t xml:space="preserve">6단계</t>
  </si>
  <si>
    <t xml:space="preserve">[연휴일정]에 연휴 동안의 이동·차례·방문 일정을 적습니다.</t>
  </si>
  <si>
    <t xml:space="preserve">3. 시트 구성</t>
  </si>
  <si>
    <t xml:space="preserve">내용</t>
  </si>
  <si>
    <t xml:space="preserve">사용법</t>
  </si>
  <si>
    <t xml:space="preserve">지금 보고 있는 시트입니다. 색상 규칙과 계산식 설명.</t>
  </si>
  <si>
    <t xml:space="preserve">설정</t>
  </si>
  <si>
    <t xml:space="preserve">분류별 예산 3칸, 여행·교통 지출 직접 입력 칸, 대상 그룹 8개·선물 상태 3개·장보기 분류 3개 목록.</t>
  </si>
  <si>
    <t xml:space="preserve">선물리스트</t>
  </si>
  <si>
    <t xml:space="preserve">선물 1건 = 1줄, 100줄(5~104행). 절약액은 자동 계산.</t>
  </si>
  <si>
    <t xml:space="preserve">장보기체크</t>
  </si>
  <si>
    <t xml:space="preserve">장볼 품목 1건 = 1줄, 80줄(5~84행).</t>
  </si>
  <si>
    <t xml:space="preserve">대시보드</t>
  </si>
  <si>
    <t xml:space="preserve">분류별 예산 대비 지출·잔여 예산, 대상 그룹별 지출, 상태별 건수, 진행률. 전부 자동.</t>
  </si>
  <si>
    <t xml:space="preserve">연휴일정</t>
  </si>
  <si>
    <t xml:space="preserve">연휴 동선 30줄(10~39행). 수식 없이 적는 칸만 있습니다.</t>
  </si>
  <si>
    <t xml:space="preserve">4. 예시 행 안내</t>
  </si>
  <si>
    <t xml:space="preserve">설명</t>
  </si>
  <si>
    <t xml:space="preserve">[선물리스트]</t>
  </si>
  <si>
    <t xml:space="preserve">5행·6행이 예시입니다. 6행은 실제 구매가를 일부러 비워 두었습니다 — 아직 안 산 건은 절약액이 빈칸으로 남는다는 것을 보여줍니다.</t>
  </si>
  <si>
    <t xml:space="preserve">[장보기체크]</t>
  </si>
  <si>
    <t xml:space="preserve">5행·6행이 예시입니다. 6행은 실제 가격과 구매 완료를 비워 두었습니다.</t>
  </si>
  <si>
    <t xml:space="preserve">지우는 방법</t>
  </si>
  <si>
    <t xml:space="preserve">예시 행은 '셀 내용만' 지우세요. 행 자체를 삭제하면 그 줄의 자동 수식까지 사라집니다.</t>
  </si>
  <si>
    <t xml:space="preserve">5. 계산식</t>
  </si>
  <si>
    <t xml:space="preserve">절약액</t>
  </si>
  <si>
    <t xml:space="preserve">예상 가격 − 실제 구매가. 선물 품목·예상 가격·실제 구매가 셋 중 하나라도 비어 있으면 빈칸으로 둡니다.</t>
  </si>
  <si>
    <t xml:space="preserve">선물 지출</t>
  </si>
  <si>
    <t xml:space="preserve">[선물리스트] 실제 구매가 열의 합계.</t>
  </si>
  <si>
    <t xml:space="preserve">차례·장보기 지출</t>
  </si>
  <si>
    <t xml:space="preserve">[장보기체크] 실제 가격 열의 합계.</t>
  </si>
  <si>
    <t xml:space="preserve">여행·교통 지출</t>
  </si>
  <si>
    <t xml:space="preserve">[설정] 시트에 직접 적은 금액. 이 분류만 별도 입력 시트가 없습니다.</t>
  </si>
  <si>
    <t xml:space="preserve">잔여 예산</t>
  </si>
  <si>
    <t xml:space="preserve">예산 − 지출. 음수면 예산을 넘긴 것입니다.</t>
  </si>
  <si>
    <t xml:space="preserve">그룹별 집계</t>
  </si>
  <si>
    <t xml:space="preserve">대상 그룹이 같은 줄의 건수·예상 가격·실제 지출·절약액을 각각 더합니다(SUMIFS).</t>
  </si>
  <si>
    <t xml:space="preserve">선물 진행률</t>
  </si>
  <si>
    <t xml:space="preserve">상태가 '완료'인 건수 ÷ 선물 품목이 적힌 전체 건수.</t>
  </si>
  <si>
    <t xml:space="preserve">전체 준비 진행률</t>
  </si>
  <si>
    <t xml:space="preserve">(선물 완료 건수 + 장보기 완료 건수) ÷ (선물 전체 건수 + 장보기 전체 건수).</t>
  </si>
  <si>
    <t xml:space="preserve">6. 알아두기</t>
  </si>
  <si>
    <t xml:space="preserve">함수</t>
  </si>
  <si>
    <t xml:space="preserve">SUM · SUMIFS · COUNTIF · COUNTIFS · IF · IFERROR 6종만 씁니다. 전부 엑셀 2007부터 있는 기본 함수라 구버전·구글 시트에서도 동작합니다.</t>
  </si>
  <si>
    <t xml:space="preserve">매크로</t>
  </si>
  <si>
    <t xml:space="preserve">없습니다. .xlsx 순수 수식 파일입니다.</t>
  </si>
  <si>
    <t xml:space="preserve">구매 완료 표시</t>
  </si>
  <si>
    <t xml:space="preserve">[장보기체크]의 '구매 완료' 칸은 영문 대문자 O 로 셉니다. 드롭다운에서 고르면 정확합니다.</t>
  </si>
  <si>
    <t xml:space="preserve">그룹 이름</t>
  </si>
  <si>
    <t xml:space="preserve">[선물리스트]의 대상 그룹에 [설정] 목록에 없는 이름을 직접 쳐 넣으면, 그 줄은 대시보드의 그룹별 집계에서 빠집니다. 드롭다운에서 고르세요.</t>
  </si>
  <si>
    <t xml:space="preserve">상태 미입력</t>
  </si>
  <si>
    <t xml:space="preserve">선물 품목만 적고 상태를 비워 두면 전체 건수에는 들어가지만 상태별 건수에는 잡히지 않습니다. 상태는 꼭 골라 주세요.</t>
  </si>
  <si>
    <t xml:space="preserve">한도</t>
  </si>
  <si>
    <t xml:space="preserve">선물 100줄, 장보기 80줄, 일정 30줄까지 수식과 서식이 들어 있습니다. 그보다 아래 행은 직접 수식을 복사해 늘려야 합니다.</t>
  </si>
  <si>
    <t xml:space="preserve">추석 날짜</t>
  </si>
  <si>
    <t xml:space="preserve">[연휴일정] 시트 위쪽에 2026년 추석 날짜와 연휴 기간을 적어 두었습니다. 추석은 음력 8월 15일이라 양력 날짜가 해마다 달라집니다.</t>
  </si>
  <si>
    <t xml:space="preserve">이용 범위</t>
  </si>
  <si>
    <t xml:space="preserve">구매하신 분 본인의 사용을 위한 파일입니다. 재판매·재배포는 하실 수 없습니다.</t>
  </si>
  <si>
    <t xml:space="preserve">노란 배경 칸을 내 상황에 맞게 바꾸세요. [선물리스트]의 드롭다운과 [대시보드]의 집계가 자동으로 따라갑니다.</t>
  </si>
  <si>
    <t xml:space="preserve">예산 분류</t>
  </si>
  <si>
    <t xml:space="preserve">예산(원)</t>
  </si>
  <si>
    <t xml:space="preserve">선물</t>
  </si>
  <si>
    <t xml:space="preserve">[선물리스트] 시트에 적는 선물 구입 예산입니다.</t>
  </si>
  <si>
    <t xml:space="preserve">차례·장보기</t>
  </si>
  <si>
    <t xml:space="preserve">[장보기체크] 시트의 차례상·음식·생활용품 예산입니다.</t>
  </si>
  <si>
    <t xml:space="preserve">여행·교통</t>
  </si>
  <si>
    <t xml:space="preserve">귀성 교통비·주유비·숙박비 등입니다. 이 분류만 지출 입력 시트가 따로 없어, 아래 11행에 합계를 직접 적습니다.</t>
  </si>
  <si>
    <t xml:space="preserve">예산 합계</t>
  </si>
  <si>
    <t xml:space="preserve">← 자동 계산입니다. 직접 고치지 마세요.</t>
  </si>
  <si>
    <t xml:space="preserve">직접 입력 지출</t>
  </si>
  <si>
    <t xml:space="preserve">금액(원)</t>
  </si>
  <si>
    <t xml:space="preserve">교통비·숙박비 영수증 합계를 직접 적으면 [대시보드]의 여행·교통 지출 칸에 그대로 반영됩니다.</t>
  </si>
  <si>
    <t xml:space="preserve">대상 그룹 목록</t>
  </si>
  <si>
    <t xml:space="preserve">선물 상태 목록</t>
  </si>
  <si>
    <t xml:space="preserve">장보기 분류 목록</t>
  </si>
  <si>
    <t xml:space="preserve">부모님</t>
  </si>
  <si>
    <t xml:space="preserve">계획</t>
  </si>
  <si>
    <t xml:space="preserve">차례상</t>
  </si>
  <si>
    <t xml:space="preserve">시부모님·처가</t>
  </si>
  <si>
    <t xml:space="preserve">주문</t>
  </si>
  <si>
    <t xml:space="preserve">음식</t>
  </si>
  <si>
    <t xml:space="preserve">조부모</t>
  </si>
  <si>
    <t xml:space="preserve">완료</t>
  </si>
  <si>
    <t xml:space="preserve">생활</t>
  </si>
  <si>
    <t xml:space="preserve">형제자매</t>
  </si>
  <si>
    <t xml:space="preserve">친척</t>
  </si>
  <si>
    <t xml:space="preserve">지인·이웃</t>
  </si>
  <si>
    <t xml:space="preserve">직장</t>
  </si>
  <si>
    <t xml:space="preserve">기타</t>
  </si>
  <si>
    <t xml:space="preserve">· 대상 그룹 8칸은 이름을 자유롭게 바꿔도 됩니다. 바꾸면 [선물리스트] 드롭다운과 [대시보드] 그룹별 집계가 같이 바뀝니다.</t>
  </si>
  <si>
    <t xml:space="preserve">· 선물 상태와 장보기 분류도 바꿀 수 있지만, 대시보드가 이 세 칸을 그대로 읽어 집계하므로 개수는 3개로 유지하세요.</t>
  </si>
  <si>
    <t xml:space="preserve">선물 1건을 1줄로 적습니다. 5~104행 100줄. 회색 배경의 5·6행은 예시이니 내용을 지우고 쓰세요. H열(절약액)은 자동 계산이라 손대지 마세요.</t>
  </si>
  <si>
    <t xml:space="preserve">필수</t>
  </si>
  <si>
    <t xml:space="preserve">나중 입력</t>
  </si>
  <si>
    <t xml:space="preserve">선택</t>
  </si>
  <si>
    <t xml:space="preserve">자동</t>
  </si>
  <si>
    <t xml:space="preserve">대상 그룹</t>
  </si>
  <si>
    <t xml:space="preserve">받는 분</t>
  </si>
  <si>
    <t xml:space="preserve">선물 품목</t>
  </si>
  <si>
    <t xml:space="preserve">예상 가격</t>
  </si>
  <si>
    <t xml:space="preserve">실제 구매가</t>
  </si>
  <si>
    <t xml:space="preserve">구매처</t>
  </si>
  <si>
    <t xml:space="preserve">상태</t>
  </si>
  <si>
    <t xml:space="preserve">절약액(예상-실제)</t>
  </si>
  <si>
    <t xml:space="preserve">메모</t>
  </si>
  <si>
    <t xml:space="preserve">어머니</t>
  </si>
  <si>
    <t xml:space="preserve">한우 정육 선물세트 1호</t>
  </si>
  <si>
    <t xml:space="preserve">이마트 트레이더스</t>
  </si>
  <si>
    <t xml:space="preserve">9/12 매장 방문 수령</t>
  </si>
  <si>
    <t xml:space="preserve">김과장님</t>
  </si>
  <si>
    <t xml:space="preserve">홍삼정 스틱 30포</t>
  </si>
  <si>
    <t xml:space="preserve">쿠팡</t>
  </si>
  <si>
    <t xml:space="preserve">9/20 도착 예정</t>
  </si>
  <si>
    <t xml:space="preserve">차례상·음식·생활용품을 1줄씩 적습니다. 5~84행 80줄. 회색 배경의 5·6행은 예시입니다. 가격은 그 줄의 총액(단가×수량)으로 적어야 [대시보드] 합계가 맞습니다. 사고 나면 '구매 완료'에 O 를 넣으세요.</t>
  </si>
  <si>
    <t xml:space="preserve">분류</t>
  </si>
  <si>
    <t xml:space="preserve">품목</t>
  </si>
  <si>
    <t xml:space="preserve">수량</t>
  </si>
  <si>
    <t xml:space="preserve">실제 가격</t>
  </si>
  <si>
    <t xml:space="preserve">구매 완료</t>
  </si>
  <si>
    <t xml:space="preserve">사과 (대과 5개입)</t>
  </si>
  <si>
    <t xml:space="preserve">1박스</t>
  </si>
  <si>
    <t xml:space="preserve">O</t>
  </si>
  <si>
    <t xml:space="preserve">제수용, 흠 없는 것으로</t>
  </si>
  <si>
    <t xml:space="preserve">전 부침 재료 (동태포·애호박·계란)</t>
  </si>
  <si>
    <t xml:space="preserve">1세트</t>
  </si>
  <si>
    <t xml:space="preserve">9/23 시장에서</t>
  </si>
  <si>
    <t xml:space="preserve">모든 숫자는 [설정]·[선물리스트]·[장보기체크]에서 자동으로 계산됩니다. 이 시트에는 입력 칸이 없습니다.</t>
  </si>
  <si>
    <t xml:space="preserve">① 분류별 예산 대비 지출</t>
  </si>
  <si>
    <t xml:space="preserve">예산</t>
  </si>
  <si>
    <t xml:space="preserve">지출</t>
  </si>
  <si>
    <t xml:space="preserve">집행률</t>
  </si>
  <si>
    <t xml:space="preserve">← [선물리스트] 실제 구매가 합계</t>
  </si>
  <si>
    <t xml:space="preserve">← [장보기체크] 실제 가격 합계</t>
  </si>
  <si>
    <t xml:space="preserve">← [설정] 시트에 직접 적은 여행·교통 지출</t>
  </si>
  <si>
    <t xml:space="preserve">합계</t>
  </si>
  <si>
    <t xml:space="preserve">← 잔여 예산이 음수면 예산을 넘긴 것입니다</t>
  </si>
  <si>
    <t xml:space="preserve">② 대상 그룹별 선물 지출</t>
  </si>
  <si>
    <t xml:space="preserve">건수</t>
  </si>
  <si>
    <t xml:space="preserve">예상 가격 합계</t>
  </si>
  <si>
    <t xml:space="preserve">실제 지출</t>
  </si>
  <si>
    <t xml:space="preserve">← 그룹 이름은 [설정] 시트를 그대로 읽어 옵니다</t>
  </si>
  <si>
    <t xml:space="preserve">← 목록에 없는 그룹명을 직접 친 줄은 여기에 잡히지 않습니다</t>
  </si>
  <si>
    <t xml:space="preserve">③ 선물 상태별 건수</t>
  </si>
  <si>
    <t xml:space="preserve">← 상태 이름도 [설정] 시트를 그대로 읽어 옵니다</t>
  </si>
  <si>
    <t xml:space="preserve">④ 진행 현황</t>
  </si>
  <si>
    <t xml:space="preserve">값</t>
  </si>
  <si>
    <t xml:space="preserve">계산 방법</t>
  </si>
  <si>
    <t xml:space="preserve">선물 전체 건수</t>
  </si>
  <si>
    <t xml:space="preserve">[선물리스트]에 선물 품목이 적힌 줄 수</t>
  </si>
  <si>
    <t xml:space="preserve">선물 완료 건수</t>
  </si>
  <si>
    <t xml:space="preserve">상태가 '완료'인 줄 수 (③번 표의 완료 건수)</t>
  </si>
  <si>
    <t xml:space="preserve">선물 완료 건수 ÷ 선물 전체 건수</t>
  </si>
  <si>
    <t xml:space="preserve">장보기 전체 건수</t>
  </si>
  <si>
    <t xml:space="preserve">[장보기체크]에 품목이 적힌 줄 수</t>
  </si>
  <si>
    <t xml:space="preserve">장보기 완료 건수</t>
  </si>
  <si>
    <t xml:space="preserve">'구매 완료'에 O 가 있는 줄 수</t>
  </si>
  <si>
    <t xml:space="preserve">장보기 진행률</t>
  </si>
  <si>
    <t xml:space="preserve">장보기 완료 건수 ÷ 장보기 전체 건수</t>
  </si>
  <si>
    <t xml:space="preserve">(선물 완료 + 장보기 완료) ÷ (선물 전체 + 장보기 전체)</t>
  </si>
  <si>
    <t xml:space="preserve">2026년 추석 정보</t>
  </si>
  <si>
    <t xml:space="preserve">추석 당일</t>
  </si>
  <si>
    <t xml:space="preserve">2026-09-25 (금)</t>
  </si>
  <si>
    <t xml:space="preserve">연휴 기간</t>
  </si>
  <si>
    <t xml:space="preserve">2026-09-24 (목) ~ 2026-09-26 (토), 3일</t>
  </si>
  <si>
    <t xml:space="preserve">대체공휴일</t>
  </si>
  <si>
    <t xml:space="preserve">없음 — 연휴에 일요일이 포함되지 않아 지정되지 않았습니다.</t>
  </si>
  <si>
    <t xml:space="preserve">기준</t>
  </si>
  <si>
    <t xml:space="preserve">추석은 음력 8월 15일이라 양력 날짜가 해마다 다릅니다. 다른 해에 쓰실 때는 달력을 확인하세요.</t>
  </si>
  <si>
    <t xml:space="preserve">확인일</t>
  </si>
  <si>
    <t xml:space="preserve">2026-08-12 (웹 확인)</t>
  </si>
  <si>
    <t xml:space="preserve">아래 표에 연휴 동안의 이동·차례·방문 일정을 적으세요. 수식이 없는 시트라 자유롭게 쓰셔도 됩니다. (10~39행, 30줄)</t>
  </si>
  <si>
    <t xml:space="preserve">날짜</t>
  </si>
  <si>
    <t xml:space="preserve">시간</t>
  </si>
  <si>
    <t xml:space="preserve">일정</t>
  </si>
  <si>
    <t xml:space="preserve">장소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</si>
</sst>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\원"/>
    <numFmt numFmtId="166" formatCode="0.0%"/>
    <numFmt numFmtId="167" formatCode="#,##0\건"/>
  </numFmts>
  <fonts count="18">
    <font>
      <sz val="11"/>
      <color theme="1"/>
      <name val="Malgun Gothic"/>
      <family val="2"/>
      <charset val="1"/>
    </font>
    <font>
      <sz val="10"/>
      <name val="Malgun Gothic"/>
      <family val="0"/>
    </font>
    <font>
      <sz val="10"/>
      <name val="Malgun Gothic"/>
      <family val="0"/>
    </font>
    <font>
      <sz val="10"/>
      <name val="Malgun Gothic"/>
      <family val="0"/>
    </font>
    <font>
      <b val="true"/>
      <sz val="14"/>
      <color rgb="FF1F4E79"/>
      <name val="Malgun Gothic"/>
      <family val="2"/>
    </font>
    <font>
      <b val="true"/>
      <sz val="14"/>
      <color rgb="FF1F4E79"/>
      <name val="Malgun Gothic"/>
      <family val="0"/>
      <charset val="1"/>
    </font>
    <font>
      <sz val="9"/>
      <color rgb="FF595959"/>
      <name val="Malgun Gothic"/>
      <family val="2"/>
    </font>
    <font>
      <sz val="9"/>
      <color rgb="FF595959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Malgun Gothic"/>
      <family val="2"/>
    </font>
    <font>
      <b val="true"/>
      <sz val="10"/>
      <color rgb="FF000000"/>
      <name val="Malgun Gothic"/>
      <family val="2"/>
    </font>
    <font>
      <sz val="10"/>
      <color rgb="FF000000"/>
      <name val="Malgun Gothic"/>
      <family val="2"/>
    </font>
    <font>
      <sz val="10"/>
      <color rgb="FF000000"/>
      <name val="Malgun Gothic"/>
      <family val="0"/>
      <charset val="1"/>
    </font>
    <font>
      <b val="true"/>
      <sz val="10"/>
      <color rgb="FF000000"/>
      <name val="Malgun Gothic"/>
      <family val="0"/>
      <charset val="1"/>
    </font>
    <font>
      <sz val="10"/>
      <color rgb="FF0000FF"/>
      <name val="Malgun Gothic"/>
      <family val="0"/>
      <charset val="1"/>
    </font>
    <font>
      <sz val="10"/>
      <color rgb="FF0000FF"/>
      <name val="Malgun Gothic"/>
      <family val="2"/>
    </font>
    <font>
      <b val="true"/>
      <sz val="9"/>
      <color rgb="FF1F4E79"/>
      <name val="Malgun Gothic"/>
      <family val="2"/>
    </font>
    <font>
      <sz val="10"/>
      <color rgb="FFFFFFFF"/>
      <name val="Malgun Gothi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2F2F2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algun Gothic" pitchFamily="0" charset="1"/>
        <a:ea typeface=""/>
        <a:cs typeface=""/>
      </a:majorFont>
      <a:minorFont>
        <a:latin typeface="Malgun Gothic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</row>
    <row r="9" customFormat="false" ht="15" hidden="false" customHeight="false" outlineLevel="0" collapsed="false">
      <c r="A9" s="5" t="s">
        <v>12</v>
      </c>
      <c r="B9" s="6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7" t="s">
        <v>16</v>
      </c>
      <c r="B12" s="8" t="s">
        <v>17</v>
      </c>
    </row>
    <row r="13" customFormat="false" ht="15" hidden="false" customHeight="false" outlineLevel="0" collapsed="false">
      <c r="A13" s="7" t="s">
        <v>18</v>
      </c>
      <c r="B13" s="8" t="s">
        <v>19</v>
      </c>
    </row>
    <row r="14" customFormat="false" ht="15" hidden="false" customHeight="false" outlineLevel="0" collapsed="false">
      <c r="A14" s="7" t="s">
        <v>20</v>
      </c>
      <c r="B14" s="8" t="s">
        <v>21</v>
      </c>
    </row>
    <row r="15" customFormat="false" ht="15" hidden="false" customHeight="false" outlineLevel="0" collapsed="false">
      <c r="A15" s="7" t="s">
        <v>22</v>
      </c>
      <c r="B15" s="8" t="s">
        <v>23</v>
      </c>
    </row>
    <row r="16" customFormat="false" ht="15" hidden="false" customHeight="false" outlineLevel="0" collapsed="false">
      <c r="A16" s="7" t="s">
        <v>24</v>
      </c>
      <c r="B16" s="8" t="s">
        <v>25</v>
      </c>
    </row>
    <row r="17" customFormat="false" ht="15" hidden="false" customHeight="false" outlineLevel="0" collapsed="false">
      <c r="A17" s="7" t="s">
        <v>26</v>
      </c>
      <c r="B17" s="8" t="s">
        <v>27</v>
      </c>
    </row>
    <row r="19" customFormat="false" ht="15" hidden="false" customHeight="false" outlineLevel="0" collapsed="false">
      <c r="A19" s="3" t="s">
        <v>28</v>
      </c>
      <c r="B19" s="4" t="s">
        <v>29</v>
      </c>
    </row>
    <row r="20" customFormat="false" ht="15" hidden="false" customHeight="false" outlineLevel="0" collapsed="false">
      <c r="A20" s="5" t="s">
        <v>30</v>
      </c>
      <c r="B20" s="6" t="s">
        <v>31</v>
      </c>
    </row>
    <row r="21" customFormat="false" ht="15" hidden="false" customHeight="false" outlineLevel="0" collapsed="false">
      <c r="A21" s="5" t="s">
        <v>32</v>
      </c>
      <c r="B21" s="6" t="s">
        <v>33</v>
      </c>
    </row>
    <row r="22" customFormat="false" ht="15" hidden="false" customHeight="false" outlineLevel="0" collapsed="false">
      <c r="A22" s="5" t="s">
        <v>34</v>
      </c>
      <c r="B22" s="6" t="s">
        <v>35</v>
      </c>
    </row>
    <row r="23" customFormat="false" ht="15" hidden="false" customHeight="false" outlineLevel="0" collapsed="false">
      <c r="A23" s="5" t="s">
        <v>36</v>
      </c>
      <c r="B23" s="6" t="s">
        <v>37</v>
      </c>
    </row>
    <row r="24" customFormat="false" ht="15" hidden="false" customHeight="false" outlineLevel="0" collapsed="false">
      <c r="A24" s="5" t="s">
        <v>38</v>
      </c>
      <c r="B24" s="6" t="s">
        <v>39</v>
      </c>
    </row>
    <row r="25" customFormat="false" ht="15" hidden="false" customHeight="false" outlineLevel="0" collapsed="false">
      <c r="A25" s="5" t="s">
        <v>40</v>
      </c>
      <c r="B25" s="6" t="s">
        <v>41</v>
      </c>
    </row>
    <row r="27" customFormat="false" ht="15" hidden="false" customHeight="false" outlineLevel="0" collapsed="false">
      <c r="A27" s="3" t="s">
        <v>42</v>
      </c>
      <c r="B27" s="4" t="s">
        <v>43</v>
      </c>
    </row>
    <row r="28" customFormat="false" ht="15" hidden="false" customHeight="false" outlineLevel="0" collapsed="false">
      <c r="A28" s="7" t="s">
        <v>44</v>
      </c>
      <c r="B28" s="8" t="s">
        <v>45</v>
      </c>
    </row>
    <row r="29" customFormat="false" ht="15" hidden="false" customHeight="false" outlineLevel="0" collapsed="false">
      <c r="A29" s="7" t="s">
        <v>46</v>
      </c>
      <c r="B29" s="8" t="s">
        <v>47</v>
      </c>
    </row>
    <row r="30" customFormat="false" ht="15" hidden="false" customHeight="false" outlineLevel="0" collapsed="false">
      <c r="A30" s="5" t="s">
        <v>48</v>
      </c>
      <c r="B30" s="6" t="s">
        <v>49</v>
      </c>
    </row>
    <row r="32" customFormat="false" ht="15" hidden="false" customHeight="false" outlineLevel="0" collapsed="false">
      <c r="A32" s="3" t="s">
        <v>50</v>
      </c>
      <c r="B32" s="4" t="s">
        <v>29</v>
      </c>
    </row>
    <row r="33" customFormat="false" ht="15" hidden="false" customHeight="false" outlineLevel="0" collapsed="false">
      <c r="A33" s="5" t="s">
        <v>51</v>
      </c>
      <c r="B33" s="6" t="s">
        <v>52</v>
      </c>
    </row>
    <row r="34" customFormat="false" ht="15" hidden="false" customHeight="false" outlineLevel="0" collapsed="false">
      <c r="A34" s="5" t="s">
        <v>53</v>
      </c>
      <c r="B34" s="8" t="s">
        <v>54</v>
      </c>
    </row>
    <row r="35" customFormat="false" ht="15" hidden="false" customHeight="false" outlineLevel="0" collapsed="false">
      <c r="A35" s="5" t="s">
        <v>55</v>
      </c>
      <c r="B35" s="8" t="s">
        <v>56</v>
      </c>
    </row>
    <row r="36" customFormat="false" ht="15" hidden="false" customHeight="false" outlineLevel="0" collapsed="false">
      <c r="A36" s="5" t="s">
        <v>57</v>
      </c>
      <c r="B36" s="8" t="s">
        <v>58</v>
      </c>
    </row>
    <row r="37" customFormat="false" ht="15" hidden="false" customHeight="false" outlineLevel="0" collapsed="false">
      <c r="A37" s="5" t="s">
        <v>59</v>
      </c>
      <c r="B37" s="6" t="s">
        <v>60</v>
      </c>
    </row>
    <row r="38" customFormat="false" ht="15" hidden="false" customHeight="false" outlineLevel="0" collapsed="false">
      <c r="A38" s="5" t="s">
        <v>61</v>
      </c>
      <c r="B38" s="6" t="s">
        <v>62</v>
      </c>
    </row>
    <row r="39" customFormat="false" ht="15" hidden="false" customHeight="false" outlineLevel="0" collapsed="false">
      <c r="A39" s="5" t="s">
        <v>63</v>
      </c>
      <c r="B39" s="6" t="s">
        <v>64</v>
      </c>
    </row>
    <row r="40" customFormat="false" ht="15" hidden="false" customHeight="false" outlineLevel="0" collapsed="false">
      <c r="A40" s="5" t="s">
        <v>65</v>
      </c>
      <c r="B40" s="8" t="s">
        <v>66</v>
      </c>
    </row>
    <row r="42" customFormat="false" ht="15" hidden="false" customHeight="false" outlineLevel="0" collapsed="false">
      <c r="A42" s="3" t="s">
        <v>67</v>
      </c>
      <c r="B42" s="4" t="s">
        <v>29</v>
      </c>
    </row>
    <row r="43" customFormat="false" ht="15" hidden="false" customHeight="false" outlineLevel="0" collapsed="false">
      <c r="A43" s="5" t="s">
        <v>68</v>
      </c>
      <c r="B43" s="8" t="s">
        <v>69</v>
      </c>
    </row>
    <row r="44" customFormat="false" ht="15" hidden="false" customHeight="false" outlineLevel="0" collapsed="false">
      <c r="A44" s="5" t="s">
        <v>70</v>
      </c>
      <c r="B44" s="6" t="s">
        <v>71</v>
      </c>
    </row>
    <row r="45" customFormat="false" ht="15" hidden="false" customHeight="false" outlineLevel="0" collapsed="false">
      <c r="A45" s="5" t="s">
        <v>72</v>
      </c>
      <c r="B45" s="8" t="s">
        <v>73</v>
      </c>
    </row>
    <row r="46" customFormat="false" ht="15" hidden="false" customHeight="false" outlineLevel="0" collapsed="false">
      <c r="A46" s="5" t="s">
        <v>74</v>
      </c>
      <c r="B46" s="8" t="s">
        <v>75</v>
      </c>
    </row>
    <row r="47" customFormat="false" ht="15" hidden="false" customHeight="false" outlineLevel="0" collapsed="false">
      <c r="A47" s="5" t="s">
        <v>76</v>
      </c>
      <c r="B47" s="6" t="s">
        <v>77</v>
      </c>
    </row>
    <row r="48" customFormat="false" ht="15" hidden="false" customHeight="false" outlineLevel="0" collapsed="false">
      <c r="A48" s="5" t="s">
        <v>78</v>
      </c>
      <c r="B48" s="6" t="s">
        <v>79</v>
      </c>
    </row>
    <row r="49" customFormat="false" ht="15" hidden="false" customHeight="false" outlineLevel="0" collapsed="false">
      <c r="A49" s="5" t="s">
        <v>80</v>
      </c>
      <c r="B49" s="8" t="s">
        <v>81</v>
      </c>
    </row>
    <row r="50" customFormat="false" ht="15" hidden="false" customHeight="false" outlineLevel="0" collapsed="false">
      <c r="A50" s="5" t="s">
        <v>82</v>
      </c>
      <c r="B50" s="6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9" t="s">
        <v>85</v>
      </c>
      <c r="B4" s="9" t="s">
        <v>86</v>
      </c>
      <c r="C4" s="9" t="s">
        <v>43</v>
      </c>
    </row>
    <row r="5" customFormat="false" ht="15" hidden="false" customHeight="false" outlineLevel="0" collapsed="false">
      <c r="A5" s="5" t="s">
        <v>87</v>
      </c>
      <c r="B5" s="10" t="n">
        <v>900000</v>
      </c>
      <c r="C5" s="11" t="s">
        <v>88</v>
      </c>
    </row>
    <row r="6" customFormat="false" ht="15" hidden="false" customHeight="false" outlineLevel="0" collapsed="false">
      <c r="A6" s="5" t="s">
        <v>89</v>
      </c>
      <c r="B6" s="10" t="n">
        <v>500000</v>
      </c>
      <c r="C6" s="11" t="s">
        <v>90</v>
      </c>
    </row>
    <row r="7" customFormat="false" ht="15" hidden="false" customHeight="false" outlineLevel="0" collapsed="false">
      <c r="A7" s="5" t="s">
        <v>91</v>
      </c>
      <c r="B7" s="10" t="n">
        <v>300000</v>
      </c>
      <c r="C7" s="12" t="s">
        <v>92</v>
      </c>
    </row>
    <row r="8" customFormat="false" ht="15" hidden="false" customHeight="false" outlineLevel="0" collapsed="false">
      <c r="A8" s="13" t="s">
        <v>93</v>
      </c>
      <c r="B8" s="14" t="n">
        <f aca="false">SUM(B5:B7)</f>
        <v>1700000</v>
      </c>
      <c r="C8" s="15" t="s">
        <v>94</v>
      </c>
    </row>
    <row r="10" customFormat="false" ht="15" hidden="false" customHeight="false" outlineLevel="0" collapsed="false">
      <c r="A10" s="9" t="s">
        <v>95</v>
      </c>
      <c r="B10" s="9" t="s">
        <v>96</v>
      </c>
      <c r="C10" s="9" t="s">
        <v>43</v>
      </c>
    </row>
    <row r="11" customFormat="false" ht="15" hidden="false" customHeight="false" outlineLevel="0" collapsed="false">
      <c r="A11" s="5" t="s">
        <v>57</v>
      </c>
      <c r="B11" s="10" t="n">
        <v>0</v>
      </c>
      <c r="C11" s="12" t="s">
        <v>97</v>
      </c>
    </row>
    <row r="13" customFormat="false" ht="15" hidden="false" customHeight="false" outlineLevel="0" collapsed="false">
      <c r="A13" s="9" t="s">
        <v>98</v>
      </c>
      <c r="B13" s="9" t="s">
        <v>99</v>
      </c>
      <c r="C13" s="9" t="s">
        <v>100</v>
      </c>
    </row>
    <row r="14" customFormat="false" ht="15" hidden="false" customHeight="false" outlineLevel="0" collapsed="false">
      <c r="A14" s="16" t="s">
        <v>101</v>
      </c>
      <c r="B14" s="16" t="s">
        <v>102</v>
      </c>
      <c r="C14" s="16" t="s">
        <v>103</v>
      </c>
    </row>
    <row r="15" customFormat="false" ht="15" hidden="false" customHeight="false" outlineLevel="0" collapsed="false">
      <c r="A15" s="16" t="s">
        <v>104</v>
      </c>
      <c r="B15" s="16" t="s">
        <v>105</v>
      </c>
      <c r="C15" s="16" t="s">
        <v>106</v>
      </c>
    </row>
    <row r="16" customFormat="false" ht="15" hidden="false" customHeight="false" outlineLevel="0" collapsed="false">
      <c r="A16" s="16" t="s">
        <v>107</v>
      </c>
      <c r="B16" s="16" t="s">
        <v>108</v>
      </c>
      <c r="C16" s="16" t="s">
        <v>109</v>
      </c>
    </row>
    <row r="17" customFormat="false" ht="15" hidden="false" customHeight="false" outlineLevel="0" collapsed="false">
      <c r="A17" s="16" t="s">
        <v>110</v>
      </c>
      <c r="B17" s="16"/>
      <c r="C17" s="16"/>
    </row>
    <row r="18" customFormat="false" ht="15" hidden="false" customHeight="false" outlineLevel="0" collapsed="false">
      <c r="A18" s="16" t="s">
        <v>111</v>
      </c>
      <c r="B18" s="16"/>
      <c r="C18" s="16"/>
    </row>
    <row r="19" customFormat="false" ht="15" hidden="false" customHeight="false" outlineLevel="0" collapsed="false">
      <c r="A19" s="16" t="s">
        <v>112</v>
      </c>
      <c r="B19" s="16"/>
      <c r="C19" s="16"/>
    </row>
    <row r="20" customFormat="false" ht="15" hidden="false" customHeight="false" outlineLevel="0" collapsed="false">
      <c r="A20" s="16" t="s">
        <v>113</v>
      </c>
      <c r="B20" s="16"/>
      <c r="C20" s="16"/>
    </row>
    <row r="21" customFormat="false" ht="15" hidden="false" customHeight="false" outlineLevel="0" collapsed="false">
      <c r="A21" s="16" t="s">
        <v>114</v>
      </c>
      <c r="B21" s="16"/>
      <c r="C21" s="16"/>
    </row>
    <row r="23" customFormat="false" ht="15" hidden="false" customHeight="false" outlineLevel="0" collapsed="false">
      <c r="A23" s="17" t="s">
        <v>115</v>
      </c>
    </row>
    <row r="24" customFormat="false" ht="15" hidden="false" customHeight="false" outlineLevel="0" collapsed="false">
      <c r="A24" s="17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117</v>
      </c>
    </row>
    <row r="3" customFormat="false" ht="15" hidden="false" customHeight="false" outlineLevel="0" collapsed="false">
      <c r="A3" s="18" t="s">
        <v>118</v>
      </c>
      <c r="B3" s="18" t="s">
        <v>118</v>
      </c>
      <c r="C3" s="18" t="s">
        <v>118</v>
      </c>
      <c r="D3" s="18" t="s">
        <v>118</v>
      </c>
      <c r="E3" s="18" t="s">
        <v>119</v>
      </c>
      <c r="F3" s="18" t="s">
        <v>120</v>
      </c>
      <c r="G3" s="18" t="s">
        <v>118</v>
      </c>
      <c r="H3" s="18" t="s">
        <v>121</v>
      </c>
      <c r="I3" s="18" t="s">
        <v>120</v>
      </c>
    </row>
    <row r="4" customFormat="false" ht="15" hidden="false" customHeight="false" outlineLevel="0" collapsed="false">
      <c r="A4" s="9" t="s">
        <v>122</v>
      </c>
      <c r="B4" s="9" t="s">
        <v>123</v>
      </c>
      <c r="C4" s="9" t="s">
        <v>124</v>
      </c>
      <c r="D4" s="9" t="s">
        <v>125</v>
      </c>
      <c r="E4" s="9" t="s">
        <v>126</v>
      </c>
      <c r="F4" s="9" t="s">
        <v>127</v>
      </c>
      <c r="G4" s="9" t="s">
        <v>128</v>
      </c>
      <c r="H4" s="9" t="s">
        <v>129</v>
      </c>
      <c r="I4" s="9" t="s">
        <v>130</v>
      </c>
    </row>
    <row r="5" customFormat="false" ht="15" hidden="false" customHeight="false" outlineLevel="0" collapsed="false">
      <c r="A5" s="19" t="s">
        <v>101</v>
      </c>
      <c r="B5" s="19" t="s">
        <v>131</v>
      </c>
      <c r="C5" s="19" t="s">
        <v>132</v>
      </c>
      <c r="D5" s="20" t="n">
        <v>150000</v>
      </c>
      <c r="E5" s="20" t="n">
        <v>142000</v>
      </c>
      <c r="F5" s="19" t="s">
        <v>133</v>
      </c>
      <c r="G5" s="21" t="s">
        <v>108</v>
      </c>
      <c r="H5" s="22" t="n">
        <f aca="false">IF($C5="","",IF($D5="","",IF($E5="","",$D5-$E5)))</f>
        <v>8000</v>
      </c>
      <c r="I5" s="23" t="s">
        <v>134</v>
      </c>
    </row>
    <row r="6" customFormat="false" ht="15" hidden="false" customHeight="false" outlineLevel="0" collapsed="false">
      <c r="A6" s="19" t="s">
        <v>113</v>
      </c>
      <c r="B6" s="19" t="s">
        <v>135</v>
      </c>
      <c r="C6" s="19" t="s">
        <v>136</v>
      </c>
      <c r="D6" s="20" t="n">
        <v>60000</v>
      </c>
      <c r="E6" s="20"/>
      <c r="F6" s="19" t="s">
        <v>137</v>
      </c>
      <c r="G6" s="21" t="s">
        <v>105</v>
      </c>
      <c r="H6" s="22" t="str">
        <f aca="false">IF($C6="","",IF($D6="","",IF($E6="","",$D6-$E6)))</f>
        <v/>
      </c>
      <c r="I6" s="23" t="s">
        <v>138</v>
      </c>
    </row>
    <row r="7" customFormat="false" ht="15" hidden="false" customHeight="false" outlineLevel="0" collapsed="false">
      <c r="A7" s="24"/>
      <c r="B7" s="24"/>
      <c r="C7" s="24"/>
      <c r="D7" s="10"/>
      <c r="E7" s="25"/>
      <c r="F7" s="16"/>
      <c r="G7" s="26"/>
      <c r="H7" s="27" t="str">
        <f aca="false">IF($C7="","",IF($D7="","",IF($E7="","",$D7-$E7)))</f>
        <v/>
      </c>
      <c r="I7" s="16"/>
    </row>
    <row r="8" customFormat="false" ht="15" hidden="false" customHeight="false" outlineLevel="0" collapsed="false">
      <c r="A8" s="24"/>
      <c r="B8" s="24"/>
      <c r="C8" s="24"/>
      <c r="D8" s="10"/>
      <c r="E8" s="25"/>
      <c r="F8" s="16"/>
      <c r="G8" s="26"/>
      <c r="H8" s="27" t="str">
        <f aca="false">IF($C8="","",IF($D8="","",IF($E8="","",$D8-$E8)))</f>
        <v/>
      </c>
      <c r="I8" s="16"/>
    </row>
    <row r="9" customFormat="false" ht="15" hidden="false" customHeight="false" outlineLevel="0" collapsed="false">
      <c r="A9" s="24"/>
      <c r="B9" s="24"/>
      <c r="C9" s="24"/>
      <c r="D9" s="10"/>
      <c r="E9" s="25"/>
      <c r="F9" s="16"/>
      <c r="G9" s="26"/>
      <c r="H9" s="27" t="str">
        <f aca="false">IF($C9="","",IF($D9="","",IF($E9="","",$D9-$E9)))</f>
        <v/>
      </c>
      <c r="I9" s="16"/>
    </row>
    <row r="10" customFormat="false" ht="15" hidden="false" customHeight="false" outlineLevel="0" collapsed="false">
      <c r="A10" s="24"/>
      <c r="B10" s="24"/>
      <c r="C10" s="24"/>
      <c r="D10" s="10"/>
      <c r="E10" s="25"/>
      <c r="F10" s="16"/>
      <c r="G10" s="26"/>
      <c r="H10" s="27" t="str">
        <f aca="false">IF($C10="","",IF($D10="","",IF($E10="","",$D10-$E10)))</f>
        <v/>
      </c>
      <c r="I10" s="16"/>
    </row>
    <row r="11" customFormat="false" ht="15" hidden="false" customHeight="false" outlineLevel="0" collapsed="false">
      <c r="A11" s="24"/>
      <c r="B11" s="24"/>
      <c r="C11" s="24"/>
      <c r="D11" s="10"/>
      <c r="E11" s="25"/>
      <c r="F11" s="16"/>
      <c r="G11" s="26"/>
      <c r="H11" s="27" t="str">
        <f aca="false">IF($C11="","",IF($D11="","",IF($E11="","",$D11-$E11)))</f>
        <v/>
      </c>
      <c r="I11" s="16"/>
    </row>
    <row r="12" customFormat="false" ht="15" hidden="false" customHeight="false" outlineLevel="0" collapsed="false">
      <c r="A12" s="24"/>
      <c r="B12" s="24"/>
      <c r="C12" s="24"/>
      <c r="D12" s="10"/>
      <c r="E12" s="25"/>
      <c r="F12" s="16"/>
      <c r="G12" s="26"/>
      <c r="H12" s="27" t="str">
        <f aca="false">IF($C12="","",IF($D12="","",IF($E12="","",$D12-$E12)))</f>
        <v/>
      </c>
      <c r="I12" s="16"/>
    </row>
    <row r="13" customFormat="false" ht="15" hidden="false" customHeight="false" outlineLevel="0" collapsed="false">
      <c r="A13" s="24"/>
      <c r="B13" s="24"/>
      <c r="C13" s="24"/>
      <c r="D13" s="10"/>
      <c r="E13" s="25"/>
      <c r="F13" s="16"/>
      <c r="G13" s="26"/>
      <c r="H13" s="27" t="str">
        <f aca="false">IF($C13="","",IF($D13="","",IF($E13="","",$D13-$E13)))</f>
        <v/>
      </c>
      <c r="I13" s="16"/>
    </row>
    <row r="14" customFormat="false" ht="15" hidden="false" customHeight="false" outlineLevel="0" collapsed="false">
      <c r="A14" s="24"/>
      <c r="B14" s="24"/>
      <c r="C14" s="24"/>
      <c r="D14" s="10"/>
      <c r="E14" s="25"/>
      <c r="F14" s="16"/>
      <c r="G14" s="26"/>
      <c r="H14" s="27" t="str">
        <f aca="false">IF($C14="","",IF($D14="","",IF($E14="","",$D14-$E14)))</f>
        <v/>
      </c>
      <c r="I14" s="16"/>
    </row>
    <row r="15" customFormat="false" ht="15" hidden="false" customHeight="false" outlineLevel="0" collapsed="false">
      <c r="A15" s="24"/>
      <c r="B15" s="24"/>
      <c r="C15" s="24"/>
      <c r="D15" s="10"/>
      <c r="E15" s="25"/>
      <c r="F15" s="16"/>
      <c r="G15" s="26"/>
      <c r="H15" s="27" t="str">
        <f aca="false">IF($C15="","",IF($D15="","",IF($E15="","",$D15-$E15)))</f>
        <v/>
      </c>
      <c r="I15" s="16"/>
    </row>
    <row r="16" customFormat="false" ht="15" hidden="false" customHeight="false" outlineLevel="0" collapsed="false">
      <c r="A16" s="24"/>
      <c r="B16" s="24"/>
      <c r="C16" s="24"/>
      <c r="D16" s="10"/>
      <c r="E16" s="25"/>
      <c r="F16" s="16"/>
      <c r="G16" s="26"/>
      <c r="H16" s="27" t="str">
        <f aca="false">IF($C16="","",IF($D16="","",IF($E16="","",$D16-$E16)))</f>
        <v/>
      </c>
      <c r="I16" s="16"/>
    </row>
    <row r="17" customFormat="false" ht="15" hidden="false" customHeight="false" outlineLevel="0" collapsed="false">
      <c r="A17" s="24"/>
      <c r="B17" s="24"/>
      <c r="C17" s="24"/>
      <c r="D17" s="10"/>
      <c r="E17" s="25"/>
      <c r="F17" s="16"/>
      <c r="G17" s="26"/>
      <c r="H17" s="27" t="str">
        <f aca="false">IF($C17="","",IF($D17="","",IF($E17="","",$D17-$E17)))</f>
        <v/>
      </c>
      <c r="I17" s="16"/>
    </row>
    <row r="18" customFormat="false" ht="15" hidden="false" customHeight="false" outlineLevel="0" collapsed="false">
      <c r="A18" s="24"/>
      <c r="B18" s="24"/>
      <c r="C18" s="24"/>
      <c r="D18" s="10"/>
      <c r="E18" s="25"/>
      <c r="F18" s="16"/>
      <c r="G18" s="26"/>
      <c r="H18" s="27" t="str">
        <f aca="false">IF($C18="","",IF($D18="","",IF($E18="","",$D18-$E18)))</f>
        <v/>
      </c>
      <c r="I18" s="16"/>
    </row>
    <row r="19" customFormat="false" ht="15" hidden="false" customHeight="false" outlineLevel="0" collapsed="false">
      <c r="A19" s="24"/>
      <c r="B19" s="24"/>
      <c r="C19" s="24"/>
      <c r="D19" s="10"/>
      <c r="E19" s="25"/>
      <c r="F19" s="16"/>
      <c r="G19" s="26"/>
      <c r="H19" s="27" t="str">
        <f aca="false">IF($C19="","",IF($D19="","",IF($E19="","",$D19-$E19)))</f>
        <v/>
      </c>
      <c r="I19" s="16"/>
    </row>
    <row r="20" customFormat="false" ht="15" hidden="false" customHeight="false" outlineLevel="0" collapsed="false">
      <c r="A20" s="24"/>
      <c r="B20" s="24"/>
      <c r="C20" s="24"/>
      <c r="D20" s="10"/>
      <c r="E20" s="25"/>
      <c r="F20" s="16"/>
      <c r="G20" s="26"/>
      <c r="H20" s="27" t="str">
        <f aca="false">IF($C20="","",IF($D20="","",IF($E20="","",$D20-$E20)))</f>
        <v/>
      </c>
      <c r="I20" s="16"/>
    </row>
    <row r="21" customFormat="false" ht="15" hidden="false" customHeight="false" outlineLevel="0" collapsed="false">
      <c r="A21" s="24"/>
      <c r="B21" s="24"/>
      <c r="C21" s="24"/>
      <c r="D21" s="10"/>
      <c r="E21" s="25"/>
      <c r="F21" s="16"/>
      <c r="G21" s="26"/>
      <c r="H21" s="27" t="str">
        <f aca="false">IF($C21="","",IF($D21="","",IF($E21="","",$D21-$E21)))</f>
        <v/>
      </c>
      <c r="I21" s="16"/>
    </row>
    <row r="22" customFormat="false" ht="15" hidden="false" customHeight="false" outlineLevel="0" collapsed="false">
      <c r="A22" s="24"/>
      <c r="B22" s="24"/>
      <c r="C22" s="24"/>
      <c r="D22" s="10"/>
      <c r="E22" s="25"/>
      <c r="F22" s="16"/>
      <c r="G22" s="26"/>
      <c r="H22" s="27" t="str">
        <f aca="false">IF($C22="","",IF($D22="","",IF($E22="","",$D22-$E22)))</f>
        <v/>
      </c>
      <c r="I22" s="16"/>
    </row>
    <row r="23" customFormat="false" ht="15" hidden="false" customHeight="false" outlineLevel="0" collapsed="false">
      <c r="A23" s="24"/>
      <c r="B23" s="24"/>
      <c r="C23" s="24"/>
      <c r="D23" s="10"/>
      <c r="E23" s="25"/>
      <c r="F23" s="16"/>
      <c r="G23" s="26"/>
      <c r="H23" s="27" t="str">
        <f aca="false">IF($C23="","",IF($D23="","",IF($E23="","",$D23-$E23)))</f>
        <v/>
      </c>
      <c r="I23" s="16"/>
    </row>
    <row r="24" customFormat="false" ht="15" hidden="false" customHeight="false" outlineLevel="0" collapsed="false">
      <c r="A24" s="24"/>
      <c r="B24" s="24"/>
      <c r="C24" s="24"/>
      <c r="D24" s="10"/>
      <c r="E24" s="25"/>
      <c r="F24" s="16"/>
      <c r="G24" s="26"/>
      <c r="H24" s="27" t="str">
        <f aca="false">IF($C24="","",IF($D24="","",IF($E24="","",$D24-$E24)))</f>
        <v/>
      </c>
      <c r="I24" s="16"/>
    </row>
    <row r="25" customFormat="false" ht="15" hidden="false" customHeight="false" outlineLevel="0" collapsed="false">
      <c r="A25" s="24"/>
      <c r="B25" s="24"/>
      <c r="C25" s="24"/>
      <c r="D25" s="10"/>
      <c r="E25" s="25"/>
      <c r="F25" s="16"/>
      <c r="G25" s="26"/>
      <c r="H25" s="27" t="str">
        <f aca="false">IF($C25="","",IF($D25="","",IF($E25="","",$D25-$E25)))</f>
        <v/>
      </c>
      <c r="I25" s="16"/>
    </row>
    <row r="26" customFormat="false" ht="15" hidden="false" customHeight="false" outlineLevel="0" collapsed="false">
      <c r="A26" s="24"/>
      <c r="B26" s="24"/>
      <c r="C26" s="24"/>
      <c r="D26" s="10"/>
      <c r="E26" s="25"/>
      <c r="F26" s="16"/>
      <c r="G26" s="26"/>
      <c r="H26" s="27" t="str">
        <f aca="false">IF($C26="","",IF($D26="","",IF($E26="","",$D26-$E26)))</f>
        <v/>
      </c>
      <c r="I26" s="16"/>
    </row>
    <row r="27" customFormat="false" ht="15" hidden="false" customHeight="false" outlineLevel="0" collapsed="false">
      <c r="A27" s="24"/>
      <c r="B27" s="24"/>
      <c r="C27" s="24"/>
      <c r="D27" s="10"/>
      <c r="E27" s="25"/>
      <c r="F27" s="16"/>
      <c r="G27" s="26"/>
      <c r="H27" s="27" t="str">
        <f aca="false">IF($C27="","",IF($D27="","",IF($E27="","",$D27-$E27)))</f>
        <v/>
      </c>
      <c r="I27" s="16"/>
    </row>
    <row r="28" customFormat="false" ht="15" hidden="false" customHeight="false" outlineLevel="0" collapsed="false">
      <c r="A28" s="24"/>
      <c r="B28" s="24"/>
      <c r="C28" s="24"/>
      <c r="D28" s="10"/>
      <c r="E28" s="25"/>
      <c r="F28" s="16"/>
      <c r="G28" s="26"/>
      <c r="H28" s="27" t="str">
        <f aca="false">IF($C28="","",IF($D28="","",IF($E28="","",$D28-$E28)))</f>
        <v/>
      </c>
      <c r="I28" s="16"/>
    </row>
    <row r="29" customFormat="false" ht="15" hidden="false" customHeight="false" outlineLevel="0" collapsed="false">
      <c r="A29" s="24"/>
      <c r="B29" s="24"/>
      <c r="C29" s="24"/>
      <c r="D29" s="10"/>
      <c r="E29" s="25"/>
      <c r="F29" s="16"/>
      <c r="G29" s="26"/>
      <c r="H29" s="27" t="str">
        <f aca="false">IF($C29="","",IF($D29="","",IF($E29="","",$D29-$E29)))</f>
        <v/>
      </c>
      <c r="I29" s="16"/>
    </row>
    <row r="30" customFormat="false" ht="15" hidden="false" customHeight="false" outlineLevel="0" collapsed="false">
      <c r="A30" s="24"/>
      <c r="B30" s="24"/>
      <c r="C30" s="24"/>
      <c r="D30" s="10"/>
      <c r="E30" s="25"/>
      <c r="F30" s="16"/>
      <c r="G30" s="26"/>
      <c r="H30" s="27" t="str">
        <f aca="false">IF($C30="","",IF($D30="","",IF($E30="","",$D30-$E30)))</f>
        <v/>
      </c>
      <c r="I30" s="16"/>
    </row>
    <row r="31" customFormat="false" ht="15" hidden="false" customHeight="false" outlineLevel="0" collapsed="false">
      <c r="A31" s="24"/>
      <c r="B31" s="24"/>
      <c r="C31" s="24"/>
      <c r="D31" s="10"/>
      <c r="E31" s="25"/>
      <c r="F31" s="16"/>
      <c r="G31" s="26"/>
      <c r="H31" s="27" t="str">
        <f aca="false">IF($C31="","",IF($D31="","",IF($E31="","",$D31-$E31)))</f>
        <v/>
      </c>
      <c r="I31" s="16"/>
    </row>
    <row r="32" customFormat="false" ht="15" hidden="false" customHeight="false" outlineLevel="0" collapsed="false">
      <c r="A32" s="24"/>
      <c r="B32" s="24"/>
      <c r="C32" s="24"/>
      <c r="D32" s="10"/>
      <c r="E32" s="25"/>
      <c r="F32" s="16"/>
      <c r="G32" s="26"/>
      <c r="H32" s="27" t="str">
        <f aca="false">IF($C32="","",IF($D32="","",IF($E32="","",$D32-$E32)))</f>
        <v/>
      </c>
      <c r="I32" s="16"/>
    </row>
    <row r="33" customFormat="false" ht="15" hidden="false" customHeight="false" outlineLevel="0" collapsed="false">
      <c r="A33" s="24"/>
      <c r="B33" s="24"/>
      <c r="C33" s="24"/>
      <c r="D33" s="10"/>
      <c r="E33" s="25"/>
      <c r="F33" s="16"/>
      <c r="G33" s="26"/>
      <c r="H33" s="27" t="str">
        <f aca="false">IF($C33="","",IF($D33="","",IF($E33="","",$D33-$E33)))</f>
        <v/>
      </c>
      <c r="I33" s="16"/>
    </row>
    <row r="34" customFormat="false" ht="15" hidden="false" customHeight="false" outlineLevel="0" collapsed="false">
      <c r="A34" s="24"/>
      <c r="B34" s="24"/>
      <c r="C34" s="24"/>
      <c r="D34" s="10"/>
      <c r="E34" s="25"/>
      <c r="F34" s="16"/>
      <c r="G34" s="26"/>
      <c r="H34" s="27" t="str">
        <f aca="false">IF($C34="","",IF($D34="","",IF($E34="","",$D34-$E34)))</f>
        <v/>
      </c>
      <c r="I34" s="16"/>
    </row>
    <row r="35" customFormat="false" ht="15" hidden="false" customHeight="false" outlineLevel="0" collapsed="false">
      <c r="A35" s="24"/>
      <c r="B35" s="24"/>
      <c r="C35" s="24"/>
      <c r="D35" s="10"/>
      <c r="E35" s="25"/>
      <c r="F35" s="16"/>
      <c r="G35" s="26"/>
      <c r="H35" s="27" t="str">
        <f aca="false">IF($C35="","",IF($D35="","",IF($E35="","",$D35-$E35)))</f>
        <v/>
      </c>
      <c r="I35" s="16"/>
    </row>
    <row r="36" customFormat="false" ht="15" hidden="false" customHeight="false" outlineLevel="0" collapsed="false">
      <c r="A36" s="24"/>
      <c r="B36" s="24"/>
      <c r="C36" s="24"/>
      <c r="D36" s="10"/>
      <c r="E36" s="25"/>
      <c r="F36" s="16"/>
      <c r="G36" s="26"/>
      <c r="H36" s="27" t="str">
        <f aca="false">IF($C36="","",IF($D36="","",IF($E36="","",$D36-$E36)))</f>
        <v/>
      </c>
      <c r="I36" s="16"/>
    </row>
    <row r="37" customFormat="false" ht="15" hidden="false" customHeight="false" outlineLevel="0" collapsed="false">
      <c r="A37" s="24"/>
      <c r="B37" s="24"/>
      <c r="C37" s="24"/>
      <c r="D37" s="10"/>
      <c r="E37" s="25"/>
      <c r="F37" s="16"/>
      <c r="G37" s="26"/>
      <c r="H37" s="27" t="str">
        <f aca="false">IF($C37="","",IF($D37="","",IF($E37="","",$D37-$E37)))</f>
        <v/>
      </c>
      <c r="I37" s="16"/>
    </row>
    <row r="38" customFormat="false" ht="15" hidden="false" customHeight="false" outlineLevel="0" collapsed="false">
      <c r="A38" s="24"/>
      <c r="B38" s="24"/>
      <c r="C38" s="24"/>
      <c r="D38" s="10"/>
      <c r="E38" s="25"/>
      <c r="F38" s="16"/>
      <c r="G38" s="26"/>
      <c r="H38" s="27" t="str">
        <f aca="false">IF($C38="","",IF($D38="","",IF($E38="","",$D38-$E38)))</f>
        <v/>
      </c>
      <c r="I38" s="16"/>
    </row>
    <row r="39" customFormat="false" ht="15" hidden="false" customHeight="false" outlineLevel="0" collapsed="false">
      <c r="A39" s="24"/>
      <c r="B39" s="24"/>
      <c r="C39" s="24"/>
      <c r="D39" s="10"/>
      <c r="E39" s="25"/>
      <c r="F39" s="16"/>
      <c r="G39" s="26"/>
      <c r="H39" s="27" t="str">
        <f aca="false">IF($C39="","",IF($D39="","",IF($E39="","",$D39-$E39)))</f>
        <v/>
      </c>
      <c r="I39" s="16"/>
    </row>
    <row r="40" customFormat="false" ht="15" hidden="false" customHeight="false" outlineLevel="0" collapsed="false">
      <c r="A40" s="24"/>
      <c r="B40" s="24"/>
      <c r="C40" s="24"/>
      <c r="D40" s="10"/>
      <c r="E40" s="25"/>
      <c r="F40" s="16"/>
      <c r="G40" s="26"/>
      <c r="H40" s="27" t="str">
        <f aca="false">IF($C40="","",IF($D40="","",IF($E40="","",$D40-$E40)))</f>
        <v/>
      </c>
      <c r="I40" s="16"/>
    </row>
    <row r="41" customFormat="false" ht="15" hidden="false" customHeight="false" outlineLevel="0" collapsed="false">
      <c r="A41" s="24"/>
      <c r="B41" s="24"/>
      <c r="C41" s="24"/>
      <c r="D41" s="10"/>
      <c r="E41" s="25"/>
      <c r="F41" s="16"/>
      <c r="G41" s="26"/>
      <c r="H41" s="27" t="str">
        <f aca="false">IF($C41="","",IF($D41="","",IF($E41="","",$D41-$E41)))</f>
        <v/>
      </c>
      <c r="I41" s="16"/>
    </row>
    <row r="42" customFormat="false" ht="15" hidden="false" customHeight="false" outlineLevel="0" collapsed="false">
      <c r="A42" s="24"/>
      <c r="B42" s="24"/>
      <c r="C42" s="24"/>
      <c r="D42" s="10"/>
      <c r="E42" s="25"/>
      <c r="F42" s="16"/>
      <c r="G42" s="26"/>
      <c r="H42" s="27" t="str">
        <f aca="false">IF($C42="","",IF($D42="","",IF($E42="","",$D42-$E42)))</f>
        <v/>
      </c>
      <c r="I42" s="16"/>
    </row>
    <row r="43" customFormat="false" ht="15" hidden="false" customHeight="false" outlineLevel="0" collapsed="false">
      <c r="A43" s="24"/>
      <c r="B43" s="24"/>
      <c r="C43" s="24"/>
      <c r="D43" s="10"/>
      <c r="E43" s="25"/>
      <c r="F43" s="16"/>
      <c r="G43" s="26"/>
      <c r="H43" s="27" t="str">
        <f aca="false">IF($C43="","",IF($D43="","",IF($E43="","",$D43-$E43)))</f>
        <v/>
      </c>
      <c r="I43" s="16"/>
    </row>
    <row r="44" customFormat="false" ht="15" hidden="false" customHeight="false" outlineLevel="0" collapsed="false">
      <c r="A44" s="24"/>
      <c r="B44" s="24"/>
      <c r="C44" s="24"/>
      <c r="D44" s="10"/>
      <c r="E44" s="25"/>
      <c r="F44" s="16"/>
      <c r="G44" s="26"/>
      <c r="H44" s="27" t="str">
        <f aca="false">IF($C44="","",IF($D44="","",IF($E44="","",$D44-$E44)))</f>
        <v/>
      </c>
      <c r="I44" s="16"/>
    </row>
    <row r="45" customFormat="false" ht="15" hidden="false" customHeight="false" outlineLevel="0" collapsed="false">
      <c r="A45" s="24"/>
      <c r="B45" s="24"/>
      <c r="C45" s="24"/>
      <c r="D45" s="10"/>
      <c r="E45" s="25"/>
      <c r="F45" s="16"/>
      <c r="G45" s="26"/>
      <c r="H45" s="27" t="str">
        <f aca="false">IF($C45="","",IF($D45="","",IF($E45="","",$D45-$E45)))</f>
        <v/>
      </c>
      <c r="I45" s="16"/>
    </row>
    <row r="46" customFormat="false" ht="15" hidden="false" customHeight="false" outlineLevel="0" collapsed="false">
      <c r="A46" s="24"/>
      <c r="B46" s="24"/>
      <c r="C46" s="24"/>
      <c r="D46" s="10"/>
      <c r="E46" s="25"/>
      <c r="F46" s="16"/>
      <c r="G46" s="26"/>
      <c r="H46" s="27" t="str">
        <f aca="false">IF($C46="","",IF($D46="","",IF($E46="","",$D46-$E46)))</f>
        <v/>
      </c>
      <c r="I46" s="16"/>
    </row>
    <row r="47" customFormat="false" ht="15" hidden="false" customHeight="false" outlineLevel="0" collapsed="false">
      <c r="A47" s="24"/>
      <c r="B47" s="24"/>
      <c r="C47" s="24"/>
      <c r="D47" s="10"/>
      <c r="E47" s="25"/>
      <c r="F47" s="16"/>
      <c r="G47" s="26"/>
      <c r="H47" s="27" t="str">
        <f aca="false">IF($C47="","",IF($D47="","",IF($E47="","",$D47-$E47)))</f>
        <v/>
      </c>
      <c r="I47" s="16"/>
    </row>
    <row r="48" customFormat="false" ht="15" hidden="false" customHeight="false" outlineLevel="0" collapsed="false">
      <c r="A48" s="24"/>
      <c r="B48" s="24"/>
      <c r="C48" s="24"/>
      <c r="D48" s="10"/>
      <c r="E48" s="25"/>
      <c r="F48" s="16"/>
      <c r="G48" s="26"/>
      <c r="H48" s="27" t="str">
        <f aca="false">IF($C48="","",IF($D48="","",IF($E48="","",$D48-$E48)))</f>
        <v/>
      </c>
      <c r="I48" s="16"/>
    </row>
    <row r="49" customFormat="false" ht="15" hidden="false" customHeight="false" outlineLevel="0" collapsed="false">
      <c r="A49" s="24"/>
      <c r="B49" s="24"/>
      <c r="C49" s="24"/>
      <c r="D49" s="10"/>
      <c r="E49" s="25"/>
      <c r="F49" s="16"/>
      <c r="G49" s="26"/>
      <c r="H49" s="27" t="str">
        <f aca="false">IF($C49="","",IF($D49="","",IF($E49="","",$D49-$E49)))</f>
        <v/>
      </c>
      <c r="I49" s="16"/>
    </row>
    <row r="50" customFormat="false" ht="15" hidden="false" customHeight="false" outlineLevel="0" collapsed="false">
      <c r="A50" s="24"/>
      <c r="B50" s="24"/>
      <c r="C50" s="24"/>
      <c r="D50" s="10"/>
      <c r="E50" s="25"/>
      <c r="F50" s="16"/>
      <c r="G50" s="26"/>
      <c r="H50" s="27" t="str">
        <f aca="false">IF($C50="","",IF($D50="","",IF($E50="","",$D50-$E50)))</f>
        <v/>
      </c>
      <c r="I50" s="16"/>
    </row>
    <row r="51" customFormat="false" ht="15" hidden="false" customHeight="false" outlineLevel="0" collapsed="false">
      <c r="A51" s="24"/>
      <c r="B51" s="24"/>
      <c r="C51" s="24"/>
      <c r="D51" s="10"/>
      <c r="E51" s="25"/>
      <c r="F51" s="16"/>
      <c r="G51" s="26"/>
      <c r="H51" s="27" t="str">
        <f aca="false">IF($C51="","",IF($D51="","",IF($E51="","",$D51-$E51)))</f>
        <v/>
      </c>
      <c r="I51" s="16"/>
    </row>
    <row r="52" customFormat="false" ht="15" hidden="false" customHeight="false" outlineLevel="0" collapsed="false">
      <c r="A52" s="24"/>
      <c r="B52" s="24"/>
      <c r="C52" s="24"/>
      <c r="D52" s="10"/>
      <c r="E52" s="25"/>
      <c r="F52" s="16"/>
      <c r="G52" s="26"/>
      <c r="H52" s="27" t="str">
        <f aca="false">IF($C52="","",IF($D52="","",IF($E52="","",$D52-$E52)))</f>
        <v/>
      </c>
      <c r="I52" s="16"/>
    </row>
    <row r="53" customFormat="false" ht="15" hidden="false" customHeight="false" outlineLevel="0" collapsed="false">
      <c r="A53" s="24"/>
      <c r="B53" s="24"/>
      <c r="C53" s="24"/>
      <c r="D53" s="10"/>
      <c r="E53" s="25"/>
      <c r="F53" s="16"/>
      <c r="G53" s="26"/>
      <c r="H53" s="27" t="str">
        <f aca="false">IF($C53="","",IF($D53="","",IF($E53="","",$D53-$E53)))</f>
        <v/>
      </c>
      <c r="I53" s="16"/>
    </row>
    <row r="54" customFormat="false" ht="15" hidden="false" customHeight="false" outlineLevel="0" collapsed="false">
      <c r="A54" s="24"/>
      <c r="B54" s="24"/>
      <c r="C54" s="24"/>
      <c r="D54" s="10"/>
      <c r="E54" s="25"/>
      <c r="F54" s="16"/>
      <c r="G54" s="26"/>
      <c r="H54" s="27" t="str">
        <f aca="false">IF($C54="","",IF($D54="","",IF($E54="","",$D54-$E54)))</f>
        <v/>
      </c>
      <c r="I54" s="16"/>
    </row>
    <row r="55" customFormat="false" ht="15" hidden="false" customHeight="false" outlineLevel="0" collapsed="false">
      <c r="A55" s="24"/>
      <c r="B55" s="24"/>
      <c r="C55" s="24"/>
      <c r="D55" s="10"/>
      <c r="E55" s="25"/>
      <c r="F55" s="16"/>
      <c r="G55" s="26"/>
      <c r="H55" s="27" t="str">
        <f aca="false">IF($C55="","",IF($D55="","",IF($E55="","",$D55-$E55)))</f>
        <v/>
      </c>
      <c r="I55" s="16"/>
    </row>
    <row r="56" customFormat="false" ht="15" hidden="false" customHeight="false" outlineLevel="0" collapsed="false">
      <c r="A56" s="24"/>
      <c r="B56" s="24"/>
      <c r="C56" s="24"/>
      <c r="D56" s="10"/>
      <c r="E56" s="25"/>
      <c r="F56" s="16"/>
      <c r="G56" s="26"/>
      <c r="H56" s="27" t="str">
        <f aca="false">IF($C56="","",IF($D56="","",IF($E56="","",$D56-$E56)))</f>
        <v/>
      </c>
      <c r="I56" s="16"/>
    </row>
    <row r="57" customFormat="false" ht="15" hidden="false" customHeight="false" outlineLevel="0" collapsed="false">
      <c r="A57" s="24"/>
      <c r="B57" s="24"/>
      <c r="C57" s="24"/>
      <c r="D57" s="10"/>
      <c r="E57" s="25"/>
      <c r="F57" s="16"/>
      <c r="G57" s="26"/>
      <c r="H57" s="27" t="str">
        <f aca="false">IF($C57="","",IF($D57="","",IF($E57="","",$D57-$E57)))</f>
        <v/>
      </c>
      <c r="I57" s="16"/>
    </row>
    <row r="58" customFormat="false" ht="15" hidden="false" customHeight="false" outlineLevel="0" collapsed="false">
      <c r="A58" s="24"/>
      <c r="B58" s="24"/>
      <c r="C58" s="24"/>
      <c r="D58" s="10"/>
      <c r="E58" s="25"/>
      <c r="F58" s="16"/>
      <c r="G58" s="26"/>
      <c r="H58" s="27" t="str">
        <f aca="false">IF($C58="","",IF($D58="","",IF($E58="","",$D58-$E58)))</f>
        <v/>
      </c>
      <c r="I58" s="16"/>
    </row>
    <row r="59" customFormat="false" ht="15" hidden="false" customHeight="false" outlineLevel="0" collapsed="false">
      <c r="A59" s="24"/>
      <c r="B59" s="24"/>
      <c r="C59" s="24"/>
      <c r="D59" s="10"/>
      <c r="E59" s="25"/>
      <c r="F59" s="16"/>
      <c r="G59" s="26"/>
      <c r="H59" s="27" t="str">
        <f aca="false">IF($C59="","",IF($D59="","",IF($E59="","",$D59-$E59)))</f>
        <v/>
      </c>
      <c r="I59" s="16"/>
    </row>
    <row r="60" customFormat="false" ht="15" hidden="false" customHeight="false" outlineLevel="0" collapsed="false">
      <c r="A60" s="24"/>
      <c r="B60" s="24"/>
      <c r="C60" s="24"/>
      <c r="D60" s="10"/>
      <c r="E60" s="25"/>
      <c r="F60" s="16"/>
      <c r="G60" s="26"/>
      <c r="H60" s="27" t="str">
        <f aca="false">IF($C60="","",IF($D60="","",IF($E60="","",$D60-$E60)))</f>
        <v/>
      </c>
      <c r="I60" s="16"/>
    </row>
    <row r="61" customFormat="false" ht="15" hidden="false" customHeight="false" outlineLevel="0" collapsed="false">
      <c r="A61" s="24"/>
      <c r="B61" s="24"/>
      <c r="C61" s="24"/>
      <c r="D61" s="10"/>
      <c r="E61" s="25"/>
      <c r="F61" s="16"/>
      <c r="G61" s="26"/>
      <c r="H61" s="27" t="str">
        <f aca="false">IF($C61="","",IF($D61="","",IF($E61="","",$D61-$E61)))</f>
        <v/>
      </c>
      <c r="I61" s="16"/>
    </row>
    <row r="62" customFormat="false" ht="15" hidden="false" customHeight="false" outlineLevel="0" collapsed="false">
      <c r="A62" s="24"/>
      <c r="B62" s="24"/>
      <c r="C62" s="24"/>
      <c r="D62" s="10"/>
      <c r="E62" s="25"/>
      <c r="F62" s="16"/>
      <c r="G62" s="26"/>
      <c r="H62" s="27" t="str">
        <f aca="false">IF($C62="","",IF($D62="","",IF($E62="","",$D62-$E62)))</f>
        <v/>
      </c>
      <c r="I62" s="16"/>
    </row>
    <row r="63" customFormat="false" ht="15" hidden="false" customHeight="false" outlineLevel="0" collapsed="false">
      <c r="A63" s="24"/>
      <c r="B63" s="24"/>
      <c r="C63" s="24"/>
      <c r="D63" s="10"/>
      <c r="E63" s="25"/>
      <c r="F63" s="16"/>
      <c r="G63" s="26"/>
      <c r="H63" s="27" t="str">
        <f aca="false">IF($C63="","",IF($D63="","",IF($E63="","",$D63-$E63)))</f>
        <v/>
      </c>
      <c r="I63" s="16"/>
    </row>
    <row r="64" customFormat="false" ht="15" hidden="false" customHeight="false" outlineLevel="0" collapsed="false">
      <c r="A64" s="24"/>
      <c r="B64" s="24"/>
      <c r="C64" s="24"/>
      <c r="D64" s="10"/>
      <c r="E64" s="25"/>
      <c r="F64" s="16"/>
      <c r="G64" s="26"/>
      <c r="H64" s="27" t="str">
        <f aca="false">IF($C64="","",IF($D64="","",IF($E64="","",$D64-$E64)))</f>
        <v/>
      </c>
      <c r="I64" s="16"/>
    </row>
    <row r="65" customFormat="false" ht="15" hidden="false" customHeight="false" outlineLevel="0" collapsed="false">
      <c r="A65" s="24"/>
      <c r="B65" s="24"/>
      <c r="C65" s="24"/>
      <c r="D65" s="10"/>
      <c r="E65" s="25"/>
      <c r="F65" s="16"/>
      <c r="G65" s="26"/>
      <c r="H65" s="27" t="str">
        <f aca="false">IF($C65="","",IF($D65="","",IF($E65="","",$D65-$E65)))</f>
        <v/>
      </c>
      <c r="I65" s="16"/>
    </row>
    <row r="66" customFormat="false" ht="15" hidden="false" customHeight="false" outlineLevel="0" collapsed="false">
      <c r="A66" s="24"/>
      <c r="B66" s="24"/>
      <c r="C66" s="24"/>
      <c r="D66" s="10"/>
      <c r="E66" s="25"/>
      <c r="F66" s="16"/>
      <c r="G66" s="26"/>
      <c r="H66" s="27" t="str">
        <f aca="false">IF($C66="","",IF($D66="","",IF($E66="","",$D66-$E66)))</f>
        <v/>
      </c>
      <c r="I66" s="16"/>
    </row>
    <row r="67" customFormat="false" ht="15" hidden="false" customHeight="false" outlineLevel="0" collapsed="false">
      <c r="A67" s="24"/>
      <c r="B67" s="24"/>
      <c r="C67" s="24"/>
      <c r="D67" s="10"/>
      <c r="E67" s="25"/>
      <c r="F67" s="16"/>
      <c r="G67" s="26"/>
      <c r="H67" s="27" t="str">
        <f aca="false">IF($C67="","",IF($D67="","",IF($E67="","",$D67-$E67)))</f>
        <v/>
      </c>
      <c r="I67" s="16"/>
    </row>
    <row r="68" customFormat="false" ht="15" hidden="false" customHeight="false" outlineLevel="0" collapsed="false">
      <c r="A68" s="24"/>
      <c r="B68" s="24"/>
      <c r="C68" s="24"/>
      <c r="D68" s="10"/>
      <c r="E68" s="25"/>
      <c r="F68" s="16"/>
      <c r="G68" s="26"/>
      <c r="H68" s="27" t="str">
        <f aca="false">IF($C68="","",IF($D68="","",IF($E68="","",$D68-$E68)))</f>
        <v/>
      </c>
      <c r="I68" s="16"/>
    </row>
    <row r="69" customFormat="false" ht="15" hidden="false" customHeight="false" outlineLevel="0" collapsed="false">
      <c r="A69" s="24"/>
      <c r="B69" s="24"/>
      <c r="C69" s="24"/>
      <c r="D69" s="10"/>
      <c r="E69" s="25"/>
      <c r="F69" s="16"/>
      <c r="G69" s="26"/>
      <c r="H69" s="27" t="str">
        <f aca="false">IF($C69="","",IF($D69="","",IF($E69="","",$D69-$E69)))</f>
        <v/>
      </c>
      <c r="I69" s="16"/>
    </row>
    <row r="70" customFormat="false" ht="15" hidden="false" customHeight="false" outlineLevel="0" collapsed="false">
      <c r="A70" s="24"/>
      <c r="B70" s="24"/>
      <c r="C70" s="24"/>
      <c r="D70" s="10"/>
      <c r="E70" s="25"/>
      <c r="F70" s="16"/>
      <c r="G70" s="26"/>
      <c r="H70" s="27" t="str">
        <f aca="false">IF($C70="","",IF($D70="","",IF($E70="","",$D70-$E70)))</f>
        <v/>
      </c>
      <c r="I70" s="16"/>
    </row>
    <row r="71" customFormat="false" ht="15" hidden="false" customHeight="false" outlineLevel="0" collapsed="false">
      <c r="A71" s="24"/>
      <c r="B71" s="24"/>
      <c r="C71" s="24"/>
      <c r="D71" s="10"/>
      <c r="E71" s="25"/>
      <c r="F71" s="16"/>
      <c r="G71" s="26"/>
      <c r="H71" s="27" t="str">
        <f aca="false">IF($C71="","",IF($D71="","",IF($E71="","",$D71-$E71)))</f>
        <v/>
      </c>
      <c r="I71" s="16"/>
    </row>
    <row r="72" customFormat="false" ht="15" hidden="false" customHeight="false" outlineLevel="0" collapsed="false">
      <c r="A72" s="24"/>
      <c r="B72" s="24"/>
      <c r="C72" s="24"/>
      <c r="D72" s="10"/>
      <c r="E72" s="25"/>
      <c r="F72" s="16"/>
      <c r="G72" s="26"/>
      <c r="H72" s="27" t="str">
        <f aca="false">IF($C72="","",IF($D72="","",IF($E72="","",$D72-$E72)))</f>
        <v/>
      </c>
      <c r="I72" s="16"/>
    </row>
    <row r="73" customFormat="false" ht="15" hidden="false" customHeight="false" outlineLevel="0" collapsed="false">
      <c r="A73" s="24"/>
      <c r="B73" s="24"/>
      <c r="C73" s="24"/>
      <c r="D73" s="10"/>
      <c r="E73" s="25"/>
      <c r="F73" s="16"/>
      <c r="G73" s="26"/>
      <c r="H73" s="27" t="str">
        <f aca="false">IF($C73="","",IF($D73="","",IF($E73="","",$D73-$E73)))</f>
        <v/>
      </c>
      <c r="I73" s="16"/>
    </row>
    <row r="74" customFormat="false" ht="15" hidden="false" customHeight="false" outlineLevel="0" collapsed="false">
      <c r="A74" s="24"/>
      <c r="B74" s="24"/>
      <c r="C74" s="24"/>
      <c r="D74" s="10"/>
      <c r="E74" s="25"/>
      <c r="F74" s="16"/>
      <c r="G74" s="26"/>
      <c r="H74" s="27" t="str">
        <f aca="false">IF($C74="","",IF($D74="","",IF($E74="","",$D74-$E74)))</f>
        <v/>
      </c>
      <c r="I74" s="16"/>
    </row>
    <row r="75" customFormat="false" ht="15" hidden="false" customHeight="false" outlineLevel="0" collapsed="false">
      <c r="A75" s="24"/>
      <c r="B75" s="24"/>
      <c r="C75" s="24"/>
      <c r="D75" s="10"/>
      <c r="E75" s="25"/>
      <c r="F75" s="16"/>
      <c r="G75" s="26"/>
      <c r="H75" s="27" t="str">
        <f aca="false">IF($C75="","",IF($D75="","",IF($E75="","",$D75-$E75)))</f>
        <v/>
      </c>
      <c r="I75" s="16"/>
    </row>
    <row r="76" customFormat="false" ht="15" hidden="false" customHeight="false" outlineLevel="0" collapsed="false">
      <c r="A76" s="24"/>
      <c r="B76" s="24"/>
      <c r="C76" s="24"/>
      <c r="D76" s="10"/>
      <c r="E76" s="25"/>
      <c r="F76" s="16"/>
      <c r="G76" s="26"/>
      <c r="H76" s="27" t="str">
        <f aca="false">IF($C76="","",IF($D76="","",IF($E76="","",$D76-$E76)))</f>
        <v/>
      </c>
      <c r="I76" s="16"/>
    </row>
    <row r="77" customFormat="false" ht="15" hidden="false" customHeight="false" outlineLevel="0" collapsed="false">
      <c r="A77" s="24"/>
      <c r="B77" s="24"/>
      <c r="C77" s="24"/>
      <c r="D77" s="10"/>
      <c r="E77" s="25"/>
      <c r="F77" s="16"/>
      <c r="G77" s="26"/>
      <c r="H77" s="27" t="str">
        <f aca="false">IF($C77="","",IF($D77="","",IF($E77="","",$D77-$E77)))</f>
        <v/>
      </c>
      <c r="I77" s="16"/>
    </row>
    <row r="78" customFormat="false" ht="15" hidden="false" customHeight="false" outlineLevel="0" collapsed="false">
      <c r="A78" s="24"/>
      <c r="B78" s="24"/>
      <c r="C78" s="24"/>
      <c r="D78" s="10"/>
      <c r="E78" s="25"/>
      <c r="F78" s="16"/>
      <c r="G78" s="26"/>
      <c r="H78" s="27" t="str">
        <f aca="false">IF($C78="","",IF($D78="","",IF($E78="","",$D78-$E78)))</f>
        <v/>
      </c>
      <c r="I78" s="16"/>
    </row>
    <row r="79" customFormat="false" ht="15" hidden="false" customHeight="false" outlineLevel="0" collapsed="false">
      <c r="A79" s="24"/>
      <c r="B79" s="24"/>
      <c r="C79" s="24"/>
      <c r="D79" s="10"/>
      <c r="E79" s="25"/>
      <c r="F79" s="16"/>
      <c r="G79" s="26"/>
      <c r="H79" s="27" t="str">
        <f aca="false">IF($C79="","",IF($D79="","",IF($E79="","",$D79-$E79)))</f>
        <v/>
      </c>
      <c r="I79" s="16"/>
    </row>
    <row r="80" customFormat="false" ht="15" hidden="false" customHeight="false" outlineLevel="0" collapsed="false">
      <c r="A80" s="24"/>
      <c r="B80" s="24"/>
      <c r="C80" s="24"/>
      <c r="D80" s="10"/>
      <c r="E80" s="25"/>
      <c r="F80" s="16"/>
      <c r="G80" s="26"/>
      <c r="H80" s="27" t="str">
        <f aca="false">IF($C80="","",IF($D80="","",IF($E80="","",$D80-$E80)))</f>
        <v/>
      </c>
      <c r="I80" s="16"/>
    </row>
    <row r="81" customFormat="false" ht="15" hidden="false" customHeight="false" outlineLevel="0" collapsed="false">
      <c r="A81" s="24"/>
      <c r="B81" s="24"/>
      <c r="C81" s="24"/>
      <c r="D81" s="10"/>
      <c r="E81" s="25"/>
      <c r="F81" s="16"/>
      <c r="G81" s="26"/>
      <c r="H81" s="27" t="str">
        <f aca="false">IF($C81="","",IF($D81="","",IF($E81="","",$D81-$E81)))</f>
        <v/>
      </c>
      <c r="I81" s="16"/>
    </row>
    <row r="82" customFormat="false" ht="15" hidden="false" customHeight="false" outlineLevel="0" collapsed="false">
      <c r="A82" s="24"/>
      <c r="B82" s="24"/>
      <c r="C82" s="24"/>
      <c r="D82" s="10"/>
      <c r="E82" s="25"/>
      <c r="F82" s="16"/>
      <c r="G82" s="26"/>
      <c r="H82" s="27" t="str">
        <f aca="false">IF($C82="","",IF($D82="","",IF($E82="","",$D82-$E82)))</f>
        <v/>
      </c>
      <c r="I82" s="16"/>
    </row>
    <row r="83" customFormat="false" ht="15" hidden="false" customHeight="false" outlineLevel="0" collapsed="false">
      <c r="A83" s="24"/>
      <c r="B83" s="24"/>
      <c r="C83" s="24"/>
      <c r="D83" s="10"/>
      <c r="E83" s="25"/>
      <c r="F83" s="16"/>
      <c r="G83" s="26"/>
      <c r="H83" s="27" t="str">
        <f aca="false">IF($C83="","",IF($D83="","",IF($E83="","",$D83-$E83)))</f>
        <v/>
      </c>
      <c r="I83" s="16"/>
    </row>
    <row r="84" customFormat="false" ht="15" hidden="false" customHeight="false" outlineLevel="0" collapsed="false">
      <c r="A84" s="24"/>
      <c r="B84" s="24"/>
      <c r="C84" s="24"/>
      <c r="D84" s="10"/>
      <c r="E84" s="25"/>
      <c r="F84" s="16"/>
      <c r="G84" s="26"/>
      <c r="H84" s="27" t="str">
        <f aca="false">IF($C84="","",IF($D84="","",IF($E84="","",$D84-$E84)))</f>
        <v/>
      </c>
      <c r="I84" s="16"/>
    </row>
    <row r="85" customFormat="false" ht="15" hidden="false" customHeight="false" outlineLevel="0" collapsed="false">
      <c r="A85" s="24"/>
      <c r="B85" s="24"/>
      <c r="C85" s="24"/>
      <c r="D85" s="10"/>
      <c r="E85" s="25"/>
      <c r="F85" s="16"/>
      <c r="G85" s="26"/>
      <c r="H85" s="27" t="str">
        <f aca="false">IF($C85="","",IF($D85="","",IF($E85="","",$D85-$E85)))</f>
        <v/>
      </c>
      <c r="I85" s="16"/>
    </row>
    <row r="86" customFormat="false" ht="15" hidden="false" customHeight="false" outlineLevel="0" collapsed="false">
      <c r="A86" s="24"/>
      <c r="B86" s="24"/>
      <c r="C86" s="24"/>
      <c r="D86" s="10"/>
      <c r="E86" s="25"/>
      <c r="F86" s="16"/>
      <c r="G86" s="26"/>
      <c r="H86" s="27" t="str">
        <f aca="false">IF($C86="","",IF($D86="","",IF($E86="","",$D86-$E86)))</f>
        <v/>
      </c>
      <c r="I86" s="16"/>
    </row>
    <row r="87" customFormat="false" ht="15" hidden="false" customHeight="false" outlineLevel="0" collapsed="false">
      <c r="A87" s="24"/>
      <c r="B87" s="24"/>
      <c r="C87" s="24"/>
      <c r="D87" s="10"/>
      <c r="E87" s="25"/>
      <c r="F87" s="16"/>
      <c r="G87" s="26"/>
      <c r="H87" s="27" t="str">
        <f aca="false">IF($C87="","",IF($D87="","",IF($E87="","",$D87-$E87)))</f>
        <v/>
      </c>
      <c r="I87" s="16"/>
    </row>
    <row r="88" customFormat="false" ht="15" hidden="false" customHeight="false" outlineLevel="0" collapsed="false">
      <c r="A88" s="24"/>
      <c r="B88" s="24"/>
      <c r="C88" s="24"/>
      <c r="D88" s="10"/>
      <c r="E88" s="25"/>
      <c r="F88" s="16"/>
      <c r="G88" s="26"/>
      <c r="H88" s="27" t="str">
        <f aca="false">IF($C88="","",IF($D88="","",IF($E88="","",$D88-$E88)))</f>
        <v/>
      </c>
      <c r="I88" s="16"/>
    </row>
    <row r="89" customFormat="false" ht="15" hidden="false" customHeight="false" outlineLevel="0" collapsed="false">
      <c r="A89" s="24"/>
      <c r="B89" s="24"/>
      <c r="C89" s="24"/>
      <c r="D89" s="10"/>
      <c r="E89" s="25"/>
      <c r="F89" s="16"/>
      <c r="G89" s="26"/>
      <c r="H89" s="27" t="str">
        <f aca="false">IF($C89="","",IF($D89="","",IF($E89="","",$D89-$E89)))</f>
        <v/>
      </c>
      <c r="I89" s="16"/>
    </row>
    <row r="90" customFormat="false" ht="15" hidden="false" customHeight="false" outlineLevel="0" collapsed="false">
      <c r="A90" s="24"/>
      <c r="B90" s="24"/>
      <c r="C90" s="24"/>
      <c r="D90" s="10"/>
      <c r="E90" s="25"/>
      <c r="F90" s="16"/>
      <c r="G90" s="26"/>
      <c r="H90" s="27" t="str">
        <f aca="false">IF($C90="","",IF($D90="","",IF($E90="","",$D90-$E90)))</f>
        <v/>
      </c>
      <c r="I90" s="16"/>
    </row>
    <row r="91" customFormat="false" ht="15" hidden="false" customHeight="false" outlineLevel="0" collapsed="false">
      <c r="A91" s="24"/>
      <c r="B91" s="24"/>
      <c r="C91" s="24"/>
      <c r="D91" s="10"/>
      <c r="E91" s="25"/>
      <c r="F91" s="16"/>
      <c r="G91" s="26"/>
      <c r="H91" s="27" t="str">
        <f aca="false">IF($C91="","",IF($D91="","",IF($E91="","",$D91-$E91)))</f>
        <v/>
      </c>
      <c r="I91" s="16"/>
    </row>
    <row r="92" customFormat="false" ht="15" hidden="false" customHeight="false" outlineLevel="0" collapsed="false">
      <c r="A92" s="24"/>
      <c r="B92" s="24"/>
      <c r="C92" s="24"/>
      <c r="D92" s="10"/>
      <c r="E92" s="25"/>
      <c r="F92" s="16"/>
      <c r="G92" s="26"/>
      <c r="H92" s="27" t="str">
        <f aca="false">IF($C92="","",IF($D92="","",IF($E92="","",$D92-$E92)))</f>
        <v/>
      </c>
      <c r="I92" s="16"/>
    </row>
    <row r="93" customFormat="false" ht="15" hidden="false" customHeight="false" outlineLevel="0" collapsed="false">
      <c r="A93" s="24"/>
      <c r="B93" s="24"/>
      <c r="C93" s="24"/>
      <c r="D93" s="10"/>
      <c r="E93" s="25"/>
      <c r="F93" s="16"/>
      <c r="G93" s="26"/>
      <c r="H93" s="27" t="str">
        <f aca="false">IF($C93="","",IF($D93="","",IF($E93="","",$D93-$E93)))</f>
        <v/>
      </c>
      <c r="I93" s="16"/>
    </row>
    <row r="94" customFormat="false" ht="15" hidden="false" customHeight="false" outlineLevel="0" collapsed="false">
      <c r="A94" s="24"/>
      <c r="B94" s="24"/>
      <c r="C94" s="24"/>
      <c r="D94" s="10"/>
      <c r="E94" s="25"/>
      <c r="F94" s="16"/>
      <c r="G94" s="26"/>
      <c r="H94" s="27" t="str">
        <f aca="false">IF($C94="","",IF($D94="","",IF($E94="","",$D94-$E94)))</f>
        <v/>
      </c>
      <c r="I94" s="16"/>
    </row>
    <row r="95" customFormat="false" ht="15" hidden="false" customHeight="false" outlineLevel="0" collapsed="false">
      <c r="A95" s="24"/>
      <c r="B95" s="24"/>
      <c r="C95" s="24"/>
      <c r="D95" s="10"/>
      <c r="E95" s="25"/>
      <c r="F95" s="16"/>
      <c r="G95" s="26"/>
      <c r="H95" s="27" t="str">
        <f aca="false">IF($C95="","",IF($D95="","",IF($E95="","",$D95-$E95)))</f>
        <v/>
      </c>
      <c r="I95" s="16"/>
    </row>
    <row r="96" customFormat="false" ht="15" hidden="false" customHeight="false" outlineLevel="0" collapsed="false">
      <c r="A96" s="24"/>
      <c r="B96" s="24"/>
      <c r="C96" s="24"/>
      <c r="D96" s="10"/>
      <c r="E96" s="25"/>
      <c r="F96" s="16"/>
      <c r="G96" s="26"/>
      <c r="H96" s="27" t="str">
        <f aca="false">IF($C96="","",IF($D96="","",IF($E96="","",$D96-$E96)))</f>
        <v/>
      </c>
      <c r="I96" s="16"/>
    </row>
    <row r="97" customFormat="false" ht="15" hidden="false" customHeight="false" outlineLevel="0" collapsed="false">
      <c r="A97" s="24"/>
      <c r="B97" s="24"/>
      <c r="C97" s="24"/>
      <c r="D97" s="10"/>
      <c r="E97" s="25"/>
      <c r="F97" s="16"/>
      <c r="G97" s="26"/>
      <c r="H97" s="27" t="str">
        <f aca="false">IF($C97="","",IF($D97="","",IF($E97="","",$D97-$E97)))</f>
        <v/>
      </c>
      <c r="I97" s="16"/>
    </row>
    <row r="98" customFormat="false" ht="15" hidden="false" customHeight="false" outlineLevel="0" collapsed="false">
      <c r="A98" s="24"/>
      <c r="B98" s="24"/>
      <c r="C98" s="24"/>
      <c r="D98" s="10"/>
      <c r="E98" s="25"/>
      <c r="F98" s="16"/>
      <c r="G98" s="26"/>
      <c r="H98" s="27" t="str">
        <f aca="false">IF($C98="","",IF($D98="","",IF($E98="","",$D98-$E98)))</f>
        <v/>
      </c>
      <c r="I98" s="16"/>
    </row>
    <row r="99" customFormat="false" ht="15" hidden="false" customHeight="false" outlineLevel="0" collapsed="false">
      <c r="A99" s="24"/>
      <c r="B99" s="24"/>
      <c r="C99" s="24"/>
      <c r="D99" s="10"/>
      <c r="E99" s="25"/>
      <c r="F99" s="16"/>
      <c r="G99" s="26"/>
      <c r="H99" s="27" t="str">
        <f aca="false">IF($C99="","",IF($D99="","",IF($E99="","",$D99-$E99)))</f>
        <v/>
      </c>
      <c r="I99" s="16"/>
    </row>
    <row r="100" customFormat="false" ht="15" hidden="false" customHeight="false" outlineLevel="0" collapsed="false">
      <c r="A100" s="24"/>
      <c r="B100" s="24"/>
      <c r="C100" s="24"/>
      <c r="D100" s="10"/>
      <c r="E100" s="25"/>
      <c r="F100" s="16"/>
      <c r="G100" s="26"/>
      <c r="H100" s="27" t="str">
        <f aca="false">IF($C100="","",IF($D100="","",IF($E100="","",$D100-$E100)))</f>
        <v/>
      </c>
      <c r="I100" s="16"/>
    </row>
    <row r="101" customFormat="false" ht="15" hidden="false" customHeight="false" outlineLevel="0" collapsed="false">
      <c r="A101" s="24"/>
      <c r="B101" s="24"/>
      <c r="C101" s="24"/>
      <c r="D101" s="10"/>
      <c r="E101" s="25"/>
      <c r="F101" s="16"/>
      <c r="G101" s="26"/>
      <c r="H101" s="27" t="str">
        <f aca="false">IF($C101="","",IF($D101="","",IF($E101="","",$D101-$E101)))</f>
        <v/>
      </c>
      <c r="I101" s="16"/>
    </row>
    <row r="102" customFormat="false" ht="15" hidden="false" customHeight="false" outlineLevel="0" collapsed="false">
      <c r="A102" s="24"/>
      <c r="B102" s="24"/>
      <c r="C102" s="24"/>
      <c r="D102" s="10"/>
      <c r="E102" s="25"/>
      <c r="F102" s="16"/>
      <c r="G102" s="26"/>
      <c r="H102" s="27" t="str">
        <f aca="false">IF($C102="","",IF($D102="","",IF($E102="","",$D102-$E102)))</f>
        <v/>
      </c>
      <c r="I102" s="16"/>
    </row>
    <row r="103" customFormat="false" ht="15" hidden="false" customHeight="false" outlineLevel="0" collapsed="false">
      <c r="A103" s="24"/>
      <c r="B103" s="24"/>
      <c r="C103" s="24"/>
      <c r="D103" s="10"/>
      <c r="E103" s="25"/>
      <c r="F103" s="16"/>
      <c r="G103" s="26"/>
      <c r="H103" s="27" t="str">
        <f aca="false">IF($C103="","",IF($D103="","",IF($E103="","",$D103-$E103)))</f>
        <v/>
      </c>
      <c r="I103" s="16"/>
    </row>
    <row r="104" customFormat="false" ht="15" hidden="false" customHeight="false" outlineLevel="0" collapsed="false">
      <c r="A104" s="24"/>
      <c r="B104" s="24"/>
      <c r="C104" s="24"/>
      <c r="D104" s="10"/>
      <c r="E104" s="25"/>
      <c r="F104" s="16"/>
      <c r="G104" s="26"/>
      <c r="H104" s="27" t="str">
        <f aca="false">IF($C104="","",IF($D104="","",IF($E104="","",$D104-$E104)))</f>
        <v/>
      </c>
      <c r="I104" s="16"/>
    </row>
  </sheetData>
  <dataValidations count="2">
    <dataValidation allowBlank="true" error="대상 그룹은 [설정] 시트의 목록에서 골라 주세요." errorStyle="stop" errorTitle="목록에 없는 값" operator="between" prompt="[설정] 시트의 대상 그룹 목록에서 고르세요." showDropDown="false" showErrorMessage="false" showInputMessage="false" sqref="A5:A104" type="list">
      <formula1>대상그룹목록</formula1>
      <formula2>0</formula2>
    </dataValidation>
    <dataValidation allowBlank="true" error="상태는 [설정] 시트의 목록에서 골라 주세요." errorStyle="stop" errorTitle="목록에 없는 값" operator="between" showDropDown="false" showErrorMessage="false" showInputMessage="false" sqref="G5:G104" type="list">
      <formula1>상태목록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139</v>
      </c>
    </row>
    <row r="3" customFormat="false" ht="15" hidden="false" customHeight="false" outlineLevel="0" collapsed="false">
      <c r="A3" s="18" t="s">
        <v>118</v>
      </c>
      <c r="B3" s="18" t="s">
        <v>118</v>
      </c>
      <c r="C3" s="18" t="s">
        <v>120</v>
      </c>
      <c r="D3" s="18" t="s">
        <v>118</v>
      </c>
      <c r="E3" s="18" t="s">
        <v>119</v>
      </c>
      <c r="F3" s="18" t="s">
        <v>119</v>
      </c>
      <c r="G3" s="18" t="s">
        <v>120</v>
      </c>
    </row>
    <row r="4" customFormat="false" ht="15" hidden="false" customHeight="false" outlineLevel="0" collapsed="false">
      <c r="A4" s="9" t="s">
        <v>140</v>
      </c>
      <c r="B4" s="9" t="s">
        <v>141</v>
      </c>
      <c r="C4" s="9" t="s">
        <v>142</v>
      </c>
      <c r="D4" s="9" t="s">
        <v>125</v>
      </c>
      <c r="E4" s="9" t="s">
        <v>143</v>
      </c>
      <c r="F4" s="9" t="s">
        <v>144</v>
      </c>
      <c r="G4" s="9" t="s">
        <v>130</v>
      </c>
    </row>
    <row r="5" customFormat="false" ht="15" hidden="false" customHeight="false" outlineLevel="0" collapsed="false">
      <c r="A5" s="19" t="s">
        <v>103</v>
      </c>
      <c r="B5" s="19" t="s">
        <v>145</v>
      </c>
      <c r="C5" s="28" t="s">
        <v>146</v>
      </c>
      <c r="D5" s="20" t="n">
        <v>25000</v>
      </c>
      <c r="E5" s="20" t="n">
        <v>23800</v>
      </c>
      <c r="F5" s="28" t="s">
        <v>147</v>
      </c>
      <c r="G5" s="19" t="s">
        <v>148</v>
      </c>
    </row>
    <row r="6" customFormat="false" ht="15" hidden="false" customHeight="false" outlineLevel="0" collapsed="false">
      <c r="A6" s="19" t="s">
        <v>106</v>
      </c>
      <c r="B6" s="19" t="s">
        <v>149</v>
      </c>
      <c r="C6" s="28" t="s">
        <v>150</v>
      </c>
      <c r="D6" s="20" t="n">
        <v>30000</v>
      </c>
      <c r="E6" s="20"/>
      <c r="F6" s="28"/>
      <c r="G6" s="23" t="s">
        <v>151</v>
      </c>
    </row>
    <row r="7" customFormat="false" ht="15" hidden="false" customHeight="false" outlineLevel="0" collapsed="false">
      <c r="A7" s="24"/>
      <c r="B7" s="24"/>
      <c r="C7" s="29"/>
      <c r="D7" s="10"/>
      <c r="E7" s="25"/>
      <c r="F7" s="29"/>
      <c r="G7" s="16"/>
    </row>
    <row r="8" customFormat="false" ht="15" hidden="false" customHeight="false" outlineLevel="0" collapsed="false">
      <c r="A8" s="24"/>
      <c r="B8" s="24"/>
      <c r="C8" s="29"/>
      <c r="D8" s="10"/>
      <c r="E8" s="25"/>
      <c r="F8" s="29"/>
      <c r="G8" s="16"/>
    </row>
    <row r="9" customFormat="false" ht="15" hidden="false" customHeight="false" outlineLevel="0" collapsed="false">
      <c r="A9" s="24"/>
      <c r="B9" s="24"/>
      <c r="C9" s="29"/>
      <c r="D9" s="10"/>
      <c r="E9" s="25"/>
      <c r="F9" s="29"/>
      <c r="G9" s="16"/>
    </row>
    <row r="10" customFormat="false" ht="15" hidden="false" customHeight="false" outlineLevel="0" collapsed="false">
      <c r="A10" s="24"/>
      <c r="B10" s="24"/>
      <c r="C10" s="29"/>
      <c r="D10" s="10"/>
      <c r="E10" s="25"/>
      <c r="F10" s="29"/>
      <c r="G10" s="16"/>
    </row>
    <row r="11" customFormat="false" ht="15" hidden="false" customHeight="false" outlineLevel="0" collapsed="false">
      <c r="A11" s="24"/>
      <c r="B11" s="24"/>
      <c r="C11" s="29"/>
      <c r="D11" s="10"/>
      <c r="E11" s="25"/>
      <c r="F11" s="29"/>
      <c r="G11" s="16"/>
    </row>
    <row r="12" customFormat="false" ht="15" hidden="false" customHeight="false" outlineLevel="0" collapsed="false">
      <c r="A12" s="24"/>
      <c r="B12" s="24"/>
      <c r="C12" s="29"/>
      <c r="D12" s="10"/>
      <c r="E12" s="25"/>
      <c r="F12" s="29"/>
      <c r="G12" s="16"/>
    </row>
    <row r="13" customFormat="false" ht="15" hidden="false" customHeight="false" outlineLevel="0" collapsed="false">
      <c r="A13" s="24"/>
      <c r="B13" s="24"/>
      <c r="C13" s="29"/>
      <c r="D13" s="10"/>
      <c r="E13" s="25"/>
      <c r="F13" s="29"/>
      <c r="G13" s="16"/>
    </row>
    <row r="14" customFormat="false" ht="15" hidden="false" customHeight="false" outlineLevel="0" collapsed="false">
      <c r="A14" s="24"/>
      <c r="B14" s="24"/>
      <c r="C14" s="29"/>
      <c r="D14" s="10"/>
      <c r="E14" s="25"/>
      <c r="F14" s="29"/>
      <c r="G14" s="16"/>
    </row>
    <row r="15" customFormat="false" ht="15" hidden="false" customHeight="false" outlineLevel="0" collapsed="false">
      <c r="A15" s="24"/>
      <c r="B15" s="24"/>
      <c r="C15" s="29"/>
      <c r="D15" s="10"/>
      <c r="E15" s="25"/>
      <c r="F15" s="29"/>
      <c r="G15" s="16"/>
    </row>
    <row r="16" customFormat="false" ht="15" hidden="false" customHeight="false" outlineLevel="0" collapsed="false">
      <c r="A16" s="24"/>
      <c r="B16" s="24"/>
      <c r="C16" s="29"/>
      <c r="D16" s="10"/>
      <c r="E16" s="25"/>
      <c r="F16" s="29"/>
      <c r="G16" s="16"/>
    </row>
    <row r="17" customFormat="false" ht="15" hidden="false" customHeight="false" outlineLevel="0" collapsed="false">
      <c r="A17" s="24"/>
      <c r="B17" s="24"/>
      <c r="C17" s="29"/>
      <c r="D17" s="10"/>
      <c r="E17" s="25"/>
      <c r="F17" s="29"/>
      <c r="G17" s="16"/>
    </row>
    <row r="18" customFormat="false" ht="15" hidden="false" customHeight="false" outlineLevel="0" collapsed="false">
      <c r="A18" s="24"/>
      <c r="B18" s="24"/>
      <c r="C18" s="29"/>
      <c r="D18" s="10"/>
      <c r="E18" s="25"/>
      <c r="F18" s="29"/>
      <c r="G18" s="16"/>
    </row>
    <row r="19" customFormat="false" ht="15" hidden="false" customHeight="false" outlineLevel="0" collapsed="false">
      <c r="A19" s="24"/>
      <c r="B19" s="24"/>
      <c r="C19" s="29"/>
      <c r="D19" s="10"/>
      <c r="E19" s="25"/>
      <c r="F19" s="29"/>
      <c r="G19" s="16"/>
    </row>
    <row r="20" customFormat="false" ht="15" hidden="false" customHeight="false" outlineLevel="0" collapsed="false">
      <c r="A20" s="24"/>
      <c r="B20" s="24"/>
      <c r="C20" s="29"/>
      <c r="D20" s="10"/>
      <c r="E20" s="25"/>
      <c r="F20" s="29"/>
      <c r="G20" s="16"/>
    </row>
    <row r="21" customFormat="false" ht="15" hidden="false" customHeight="false" outlineLevel="0" collapsed="false">
      <c r="A21" s="24"/>
      <c r="B21" s="24"/>
      <c r="C21" s="29"/>
      <c r="D21" s="10"/>
      <c r="E21" s="25"/>
      <c r="F21" s="29"/>
      <c r="G21" s="16"/>
    </row>
    <row r="22" customFormat="false" ht="15" hidden="false" customHeight="false" outlineLevel="0" collapsed="false">
      <c r="A22" s="24"/>
      <c r="B22" s="24"/>
      <c r="C22" s="29"/>
      <c r="D22" s="10"/>
      <c r="E22" s="25"/>
      <c r="F22" s="29"/>
      <c r="G22" s="16"/>
    </row>
    <row r="23" customFormat="false" ht="15" hidden="false" customHeight="false" outlineLevel="0" collapsed="false">
      <c r="A23" s="24"/>
      <c r="B23" s="24"/>
      <c r="C23" s="29"/>
      <c r="D23" s="10"/>
      <c r="E23" s="25"/>
      <c r="F23" s="29"/>
      <c r="G23" s="16"/>
    </row>
    <row r="24" customFormat="false" ht="15" hidden="false" customHeight="false" outlineLevel="0" collapsed="false">
      <c r="A24" s="24"/>
      <c r="B24" s="24"/>
      <c r="C24" s="29"/>
      <c r="D24" s="10"/>
      <c r="E24" s="25"/>
      <c r="F24" s="29"/>
      <c r="G24" s="16"/>
    </row>
    <row r="25" customFormat="false" ht="15" hidden="false" customHeight="false" outlineLevel="0" collapsed="false">
      <c r="A25" s="24"/>
      <c r="B25" s="24"/>
      <c r="C25" s="29"/>
      <c r="D25" s="10"/>
      <c r="E25" s="25"/>
      <c r="F25" s="29"/>
      <c r="G25" s="16"/>
    </row>
    <row r="26" customFormat="false" ht="15" hidden="false" customHeight="false" outlineLevel="0" collapsed="false">
      <c r="A26" s="24"/>
      <c r="B26" s="24"/>
      <c r="C26" s="29"/>
      <c r="D26" s="10"/>
      <c r="E26" s="25"/>
      <c r="F26" s="29"/>
      <c r="G26" s="16"/>
    </row>
    <row r="27" customFormat="false" ht="15" hidden="false" customHeight="false" outlineLevel="0" collapsed="false">
      <c r="A27" s="24"/>
      <c r="B27" s="24"/>
      <c r="C27" s="29"/>
      <c r="D27" s="10"/>
      <c r="E27" s="25"/>
      <c r="F27" s="29"/>
      <c r="G27" s="16"/>
    </row>
    <row r="28" customFormat="false" ht="15" hidden="false" customHeight="false" outlineLevel="0" collapsed="false">
      <c r="A28" s="24"/>
      <c r="B28" s="24"/>
      <c r="C28" s="29"/>
      <c r="D28" s="10"/>
      <c r="E28" s="25"/>
      <c r="F28" s="29"/>
      <c r="G28" s="16"/>
    </row>
    <row r="29" customFormat="false" ht="15" hidden="false" customHeight="false" outlineLevel="0" collapsed="false">
      <c r="A29" s="24"/>
      <c r="B29" s="24"/>
      <c r="C29" s="29"/>
      <c r="D29" s="10"/>
      <c r="E29" s="25"/>
      <c r="F29" s="29"/>
      <c r="G29" s="16"/>
    </row>
    <row r="30" customFormat="false" ht="15" hidden="false" customHeight="false" outlineLevel="0" collapsed="false">
      <c r="A30" s="24"/>
      <c r="B30" s="24"/>
      <c r="C30" s="29"/>
      <c r="D30" s="10"/>
      <c r="E30" s="25"/>
      <c r="F30" s="29"/>
      <c r="G30" s="16"/>
    </row>
    <row r="31" customFormat="false" ht="15" hidden="false" customHeight="false" outlineLevel="0" collapsed="false">
      <c r="A31" s="24"/>
      <c r="B31" s="24"/>
      <c r="C31" s="29"/>
      <c r="D31" s="10"/>
      <c r="E31" s="25"/>
      <c r="F31" s="29"/>
      <c r="G31" s="16"/>
    </row>
    <row r="32" customFormat="false" ht="15" hidden="false" customHeight="false" outlineLevel="0" collapsed="false">
      <c r="A32" s="24"/>
      <c r="B32" s="24"/>
      <c r="C32" s="29"/>
      <c r="D32" s="10"/>
      <c r="E32" s="25"/>
      <c r="F32" s="29"/>
      <c r="G32" s="16"/>
    </row>
    <row r="33" customFormat="false" ht="15" hidden="false" customHeight="false" outlineLevel="0" collapsed="false">
      <c r="A33" s="24"/>
      <c r="B33" s="24"/>
      <c r="C33" s="29"/>
      <c r="D33" s="10"/>
      <c r="E33" s="25"/>
      <c r="F33" s="29"/>
      <c r="G33" s="16"/>
    </row>
    <row r="34" customFormat="false" ht="15" hidden="false" customHeight="false" outlineLevel="0" collapsed="false">
      <c r="A34" s="24"/>
      <c r="B34" s="24"/>
      <c r="C34" s="29"/>
      <c r="D34" s="10"/>
      <c r="E34" s="25"/>
      <c r="F34" s="29"/>
      <c r="G34" s="16"/>
    </row>
    <row r="35" customFormat="false" ht="15" hidden="false" customHeight="false" outlineLevel="0" collapsed="false">
      <c r="A35" s="24"/>
      <c r="B35" s="24"/>
      <c r="C35" s="29"/>
      <c r="D35" s="10"/>
      <c r="E35" s="25"/>
      <c r="F35" s="29"/>
      <c r="G35" s="16"/>
    </row>
    <row r="36" customFormat="false" ht="15" hidden="false" customHeight="false" outlineLevel="0" collapsed="false">
      <c r="A36" s="24"/>
      <c r="B36" s="24"/>
      <c r="C36" s="29"/>
      <c r="D36" s="10"/>
      <c r="E36" s="25"/>
      <c r="F36" s="29"/>
      <c r="G36" s="16"/>
    </row>
    <row r="37" customFormat="false" ht="15" hidden="false" customHeight="false" outlineLevel="0" collapsed="false">
      <c r="A37" s="24"/>
      <c r="B37" s="24"/>
      <c r="C37" s="29"/>
      <c r="D37" s="10"/>
      <c r="E37" s="25"/>
      <c r="F37" s="29"/>
      <c r="G37" s="16"/>
    </row>
    <row r="38" customFormat="false" ht="15" hidden="false" customHeight="false" outlineLevel="0" collapsed="false">
      <c r="A38" s="24"/>
      <c r="B38" s="24"/>
      <c r="C38" s="29"/>
      <c r="D38" s="10"/>
      <c r="E38" s="25"/>
      <c r="F38" s="29"/>
      <c r="G38" s="16"/>
    </row>
    <row r="39" customFormat="false" ht="15" hidden="false" customHeight="false" outlineLevel="0" collapsed="false">
      <c r="A39" s="24"/>
      <c r="B39" s="24"/>
      <c r="C39" s="29"/>
      <c r="D39" s="10"/>
      <c r="E39" s="25"/>
      <c r="F39" s="29"/>
      <c r="G39" s="16"/>
    </row>
    <row r="40" customFormat="false" ht="15" hidden="false" customHeight="false" outlineLevel="0" collapsed="false">
      <c r="A40" s="24"/>
      <c r="B40" s="24"/>
      <c r="C40" s="29"/>
      <c r="D40" s="10"/>
      <c r="E40" s="25"/>
      <c r="F40" s="29"/>
      <c r="G40" s="16"/>
    </row>
    <row r="41" customFormat="false" ht="15" hidden="false" customHeight="false" outlineLevel="0" collapsed="false">
      <c r="A41" s="24"/>
      <c r="B41" s="24"/>
      <c r="C41" s="29"/>
      <c r="D41" s="10"/>
      <c r="E41" s="25"/>
      <c r="F41" s="29"/>
      <c r="G41" s="16"/>
    </row>
    <row r="42" customFormat="false" ht="15" hidden="false" customHeight="false" outlineLevel="0" collapsed="false">
      <c r="A42" s="24"/>
      <c r="B42" s="24"/>
      <c r="C42" s="29"/>
      <c r="D42" s="10"/>
      <c r="E42" s="25"/>
      <c r="F42" s="29"/>
      <c r="G42" s="16"/>
    </row>
    <row r="43" customFormat="false" ht="15" hidden="false" customHeight="false" outlineLevel="0" collapsed="false">
      <c r="A43" s="24"/>
      <c r="B43" s="24"/>
      <c r="C43" s="29"/>
      <c r="D43" s="10"/>
      <c r="E43" s="25"/>
      <c r="F43" s="29"/>
      <c r="G43" s="16"/>
    </row>
    <row r="44" customFormat="false" ht="15" hidden="false" customHeight="false" outlineLevel="0" collapsed="false">
      <c r="A44" s="24"/>
      <c r="B44" s="24"/>
      <c r="C44" s="29"/>
      <c r="D44" s="10"/>
      <c r="E44" s="25"/>
      <c r="F44" s="29"/>
      <c r="G44" s="16"/>
    </row>
    <row r="45" customFormat="false" ht="15" hidden="false" customHeight="false" outlineLevel="0" collapsed="false">
      <c r="A45" s="24"/>
      <c r="B45" s="24"/>
      <c r="C45" s="29"/>
      <c r="D45" s="10"/>
      <c r="E45" s="25"/>
      <c r="F45" s="29"/>
      <c r="G45" s="16"/>
    </row>
    <row r="46" customFormat="false" ht="15" hidden="false" customHeight="false" outlineLevel="0" collapsed="false">
      <c r="A46" s="24"/>
      <c r="B46" s="24"/>
      <c r="C46" s="29"/>
      <c r="D46" s="10"/>
      <c r="E46" s="25"/>
      <c r="F46" s="29"/>
      <c r="G46" s="16"/>
    </row>
    <row r="47" customFormat="false" ht="15" hidden="false" customHeight="false" outlineLevel="0" collapsed="false">
      <c r="A47" s="24"/>
      <c r="B47" s="24"/>
      <c r="C47" s="29"/>
      <c r="D47" s="10"/>
      <c r="E47" s="25"/>
      <c r="F47" s="29"/>
      <c r="G47" s="16"/>
    </row>
    <row r="48" customFormat="false" ht="15" hidden="false" customHeight="false" outlineLevel="0" collapsed="false">
      <c r="A48" s="24"/>
      <c r="B48" s="24"/>
      <c r="C48" s="29"/>
      <c r="D48" s="10"/>
      <c r="E48" s="25"/>
      <c r="F48" s="29"/>
      <c r="G48" s="16"/>
    </row>
    <row r="49" customFormat="false" ht="15" hidden="false" customHeight="false" outlineLevel="0" collapsed="false">
      <c r="A49" s="24"/>
      <c r="B49" s="24"/>
      <c r="C49" s="29"/>
      <c r="D49" s="10"/>
      <c r="E49" s="25"/>
      <c r="F49" s="29"/>
      <c r="G49" s="16"/>
    </row>
    <row r="50" customFormat="false" ht="15" hidden="false" customHeight="false" outlineLevel="0" collapsed="false">
      <c r="A50" s="24"/>
      <c r="B50" s="24"/>
      <c r="C50" s="29"/>
      <c r="D50" s="10"/>
      <c r="E50" s="25"/>
      <c r="F50" s="29"/>
      <c r="G50" s="16"/>
    </row>
    <row r="51" customFormat="false" ht="15" hidden="false" customHeight="false" outlineLevel="0" collapsed="false">
      <c r="A51" s="24"/>
      <c r="B51" s="24"/>
      <c r="C51" s="29"/>
      <c r="D51" s="10"/>
      <c r="E51" s="25"/>
      <c r="F51" s="29"/>
      <c r="G51" s="16"/>
    </row>
    <row r="52" customFormat="false" ht="15" hidden="false" customHeight="false" outlineLevel="0" collapsed="false">
      <c r="A52" s="24"/>
      <c r="B52" s="24"/>
      <c r="C52" s="29"/>
      <c r="D52" s="10"/>
      <c r="E52" s="25"/>
      <c r="F52" s="29"/>
      <c r="G52" s="16"/>
    </row>
    <row r="53" customFormat="false" ht="15" hidden="false" customHeight="false" outlineLevel="0" collapsed="false">
      <c r="A53" s="24"/>
      <c r="B53" s="24"/>
      <c r="C53" s="29"/>
      <c r="D53" s="10"/>
      <c r="E53" s="25"/>
      <c r="F53" s="29"/>
      <c r="G53" s="16"/>
    </row>
    <row r="54" customFormat="false" ht="15" hidden="false" customHeight="false" outlineLevel="0" collapsed="false">
      <c r="A54" s="24"/>
      <c r="B54" s="24"/>
      <c r="C54" s="29"/>
      <c r="D54" s="10"/>
      <c r="E54" s="25"/>
      <c r="F54" s="29"/>
      <c r="G54" s="16"/>
    </row>
    <row r="55" customFormat="false" ht="15" hidden="false" customHeight="false" outlineLevel="0" collapsed="false">
      <c r="A55" s="24"/>
      <c r="B55" s="24"/>
      <c r="C55" s="29"/>
      <c r="D55" s="10"/>
      <c r="E55" s="25"/>
      <c r="F55" s="29"/>
      <c r="G55" s="16"/>
    </row>
    <row r="56" customFormat="false" ht="15" hidden="false" customHeight="false" outlineLevel="0" collapsed="false">
      <c r="A56" s="24"/>
      <c r="B56" s="24"/>
      <c r="C56" s="29"/>
      <c r="D56" s="10"/>
      <c r="E56" s="25"/>
      <c r="F56" s="29"/>
      <c r="G56" s="16"/>
    </row>
    <row r="57" customFormat="false" ht="15" hidden="false" customHeight="false" outlineLevel="0" collapsed="false">
      <c r="A57" s="24"/>
      <c r="B57" s="24"/>
      <c r="C57" s="29"/>
      <c r="D57" s="10"/>
      <c r="E57" s="25"/>
      <c r="F57" s="29"/>
      <c r="G57" s="16"/>
    </row>
    <row r="58" customFormat="false" ht="15" hidden="false" customHeight="false" outlineLevel="0" collapsed="false">
      <c r="A58" s="24"/>
      <c r="B58" s="24"/>
      <c r="C58" s="29"/>
      <c r="D58" s="10"/>
      <c r="E58" s="25"/>
      <c r="F58" s="29"/>
      <c r="G58" s="16"/>
    </row>
    <row r="59" customFormat="false" ht="15" hidden="false" customHeight="false" outlineLevel="0" collapsed="false">
      <c r="A59" s="24"/>
      <c r="B59" s="24"/>
      <c r="C59" s="29"/>
      <c r="D59" s="10"/>
      <c r="E59" s="25"/>
      <c r="F59" s="29"/>
      <c r="G59" s="16"/>
    </row>
    <row r="60" customFormat="false" ht="15" hidden="false" customHeight="false" outlineLevel="0" collapsed="false">
      <c r="A60" s="24"/>
      <c r="B60" s="24"/>
      <c r="C60" s="29"/>
      <c r="D60" s="10"/>
      <c r="E60" s="25"/>
      <c r="F60" s="29"/>
      <c r="G60" s="16"/>
    </row>
    <row r="61" customFormat="false" ht="15" hidden="false" customHeight="false" outlineLevel="0" collapsed="false">
      <c r="A61" s="24"/>
      <c r="B61" s="24"/>
      <c r="C61" s="29"/>
      <c r="D61" s="10"/>
      <c r="E61" s="25"/>
      <c r="F61" s="29"/>
      <c r="G61" s="16"/>
    </row>
    <row r="62" customFormat="false" ht="15" hidden="false" customHeight="false" outlineLevel="0" collapsed="false">
      <c r="A62" s="24"/>
      <c r="B62" s="24"/>
      <c r="C62" s="29"/>
      <c r="D62" s="10"/>
      <c r="E62" s="25"/>
      <c r="F62" s="29"/>
      <c r="G62" s="16"/>
    </row>
    <row r="63" customFormat="false" ht="15" hidden="false" customHeight="false" outlineLevel="0" collapsed="false">
      <c r="A63" s="24"/>
      <c r="B63" s="24"/>
      <c r="C63" s="29"/>
      <c r="D63" s="10"/>
      <c r="E63" s="25"/>
      <c r="F63" s="29"/>
      <c r="G63" s="16"/>
    </row>
    <row r="64" customFormat="false" ht="15" hidden="false" customHeight="false" outlineLevel="0" collapsed="false">
      <c r="A64" s="24"/>
      <c r="B64" s="24"/>
      <c r="C64" s="29"/>
      <c r="D64" s="10"/>
      <c r="E64" s="25"/>
      <c r="F64" s="29"/>
      <c r="G64" s="16"/>
    </row>
    <row r="65" customFormat="false" ht="15" hidden="false" customHeight="false" outlineLevel="0" collapsed="false">
      <c r="A65" s="24"/>
      <c r="B65" s="24"/>
      <c r="C65" s="29"/>
      <c r="D65" s="10"/>
      <c r="E65" s="25"/>
      <c r="F65" s="29"/>
      <c r="G65" s="16"/>
    </row>
    <row r="66" customFormat="false" ht="15" hidden="false" customHeight="false" outlineLevel="0" collapsed="false">
      <c r="A66" s="24"/>
      <c r="B66" s="24"/>
      <c r="C66" s="29"/>
      <c r="D66" s="10"/>
      <c r="E66" s="25"/>
      <c r="F66" s="29"/>
      <c r="G66" s="16"/>
    </row>
    <row r="67" customFormat="false" ht="15" hidden="false" customHeight="false" outlineLevel="0" collapsed="false">
      <c r="A67" s="24"/>
      <c r="B67" s="24"/>
      <c r="C67" s="29"/>
      <c r="D67" s="10"/>
      <c r="E67" s="25"/>
      <c r="F67" s="29"/>
      <c r="G67" s="16"/>
    </row>
    <row r="68" customFormat="false" ht="15" hidden="false" customHeight="false" outlineLevel="0" collapsed="false">
      <c r="A68" s="24"/>
      <c r="B68" s="24"/>
      <c r="C68" s="29"/>
      <c r="D68" s="10"/>
      <c r="E68" s="25"/>
      <c r="F68" s="29"/>
      <c r="G68" s="16"/>
    </row>
    <row r="69" customFormat="false" ht="15" hidden="false" customHeight="false" outlineLevel="0" collapsed="false">
      <c r="A69" s="24"/>
      <c r="B69" s="24"/>
      <c r="C69" s="29"/>
      <c r="D69" s="10"/>
      <c r="E69" s="25"/>
      <c r="F69" s="29"/>
      <c r="G69" s="16"/>
    </row>
    <row r="70" customFormat="false" ht="15" hidden="false" customHeight="false" outlineLevel="0" collapsed="false">
      <c r="A70" s="24"/>
      <c r="B70" s="24"/>
      <c r="C70" s="29"/>
      <c r="D70" s="10"/>
      <c r="E70" s="25"/>
      <c r="F70" s="29"/>
      <c r="G70" s="16"/>
    </row>
    <row r="71" customFormat="false" ht="15" hidden="false" customHeight="false" outlineLevel="0" collapsed="false">
      <c r="A71" s="24"/>
      <c r="B71" s="24"/>
      <c r="C71" s="29"/>
      <c r="D71" s="10"/>
      <c r="E71" s="25"/>
      <c r="F71" s="29"/>
      <c r="G71" s="16"/>
    </row>
    <row r="72" customFormat="false" ht="15" hidden="false" customHeight="false" outlineLevel="0" collapsed="false">
      <c r="A72" s="24"/>
      <c r="B72" s="24"/>
      <c r="C72" s="29"/>
      <c r="D72" s="10"/>
      <c r="E72" s="25"/>
      <c r="F72" s="29"/>
      <c r="G72" s="16"/>
    </row>
    <row r="73" customFormat="false" ht="15" hidden="false" customHeight="false" outlineLevel="0" collapsed="false">
      <c r="A73" s="24"/>
      <c r="B73" s="24"/>
      <c r="C73" s="29"/>
      <c r="D73" s="10"/>
      <c r="E73" s="25"/>
      <c r="F73" s="29"/>
      <c r="G73" s="16"/>
    </row>
    <row r="74" customFormat="false" ht="15" hidden="false" customHeight="false" outlineLevel="0" collapsed="false">
      <c r="A74" s="24"/>
      <c r="B74" s="24"/>
      <c r="C74" s="29"/>
      <c r="D74" s="10"/>
      <c r="E74" s="25"/>
      <c r="F74" s="29"/>
      <c r="G74" s="16"/>
    </row>
    <row r="75" customFormat="false" ht="15" hidden="false" customHeight="false" outlineLevel="0" collapsed="false">
      <c r="A75" s="24"/>
      <c r="B75" s="24"/>
      <c r="C75" s="29"/>
      <c r="D75" s="10"/>
      <c r="E75" s="25"/>
      <c r="F75" s="29"/>
      <c r="G75" s="16"/>
    </row>
    <row r="76" customFormat="false" ht="15" hidden="false" customHeight="false" outlineLevel="0" collapsed="false">
      <c r="A76" s="24"/>
      <c r="B76" s="24"/>
      <c r="C76" s="29"/>
      <c r="D76" s="10"/>
      <c r="E76" s="25"/>
      <c r="F76" s="29"/>
      <c r="G76" s="16"/>
    </row>
    <row r="77" customFormat="false" ht="15" hidden="false" customHeight="false" outlineLevel="0" collapsed="false">
      <c r="A77" s="24"/>
      <c r="B77" s="24"/>
      <c r="C77" s="29"/>
      <c r="D77" s="10"/>
      <c r="E77" s="25"/>
      <c r="F77" s="29"/>
      <c r="G77" s="16"/>
    </row>
    <row r="78" customFormat="false" ht="15" hidden="false" customHeight="false" outlineLevel="0" collapsed="false">
      <c r="A78" s="24"/>
      <c r="B78" s="24"/>
      <c r="C78" s="29"/>
      <c r="D78" s="10"/>
      <c r="E78" s="25"/>
      <c r="F78" s="29"/>
      <c r="G78" s="16"/>
    </row>
    <row r="79" customFormat="false" ht="15" hidden="false" customHeight="false" outlineLevel="0" collapsed="false">
      <c r="A79" s="24"/>
      <c r="B79" s="24"/>
      <c r="C79" s="29"/>
      <c r="D79" s="10"/>
      <c r="E79" s="25"/>
      <c r="F79" s="29"/>
      <c r="G79" s="16"/>
    </row>
    <row r="80" customFormat="false" ht="15" hidden="false" customHeight="false" outlineLevel="0" collapsed="false">
      <c r="A80" s="24"/>
      <c r="B80" s="24"/>
      <c r="C80" s="29"/>
      <c r="D80" s="10"/>
      <c r="E80" s="25"/>
      <c r="F80" s="29"/>
      <c r="G80" s="16"/>
    </row>
    <row r="81" customFormat="false" ht="15" hidden="false" customHeight="false" outlineLevel="0" collapsed="false">
      <c r="A81" s="24"/>
      <c r="B81" s="24"/>
      <c r="C81" s="29"/>
      <c r="D81" s="10"/>
      <c r="E81" s="25"/>
      <c r="F81" s="29"/>
      <c r="G81" s="16"/>
    </row>
    <row r="82" customFormat="false" ht="15" hidden="false" customHeight="false" outlineLevel="0" collapsed="false">
      <c r="A82" s="24"/>
      <c r="B82" s="24"/>
      <c r="C82" s="29"/>
      <c r="D82" s="10"/>
      <c r="E82" s="25"/>
      <c r="F82" s="29"/>
      <c r="G82" s="16"/>
    </row>
    <row r="83" customFormat="false" ht="15" hidden="false" customHeight="false" outlineLevel="0" collapsed="false">
      <c r="A83" s="24"/>
      <c r="B83" s="24"/>
      <c r="C83" s="29"/>
      <c r="D83" s="10"/>
      <c r="E83" s="25"/>
      <c r="F83" s="29"/>
      <c r="G83" s="16"/>
    </row>
    <row r="84" customFormat="false" ht="15" hidden="false" customHeight="false" outlineLevel="0" collapsed="false">
      <c r="A84" s="24"/>
      <c r="B84" s="24"/>
      <c r="C84" s="29"/>
      <c r="D84" s="10"/>
      <c r="E84" s="25"/>
      <c r="F84" s="29"/>
      <c r="G84" s="16"/>
    </row>
  </sheetData>
  <dataValidations count="2">
    <dataValidation allowBlank="true" error="분류는 [설정] 시트의 목록에서 골라 주세요." errorStyle="stop" errorTitle="목록에 없는 값" operator="between" showDropDown="false" showErrorMessage="false" showInputMessage="false" sqref="A5:A84" type="list">
      <formula1>장보기분류</formula1>
      <formula2>0</formula2>
    </dataValidation>
    <dataValidation allowBlank="true" errorStyle="stop" operator="between" prompt="샀으면 O 를 고르세요. 아직이면 비워 둡니다." showDropDown="false" showErrorMessage="false" showInputMessage="false" sqref="F5:F84" type="list">
      <formula1>"O"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15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4" t="s">
        <v>153</v>
      </c>
      <c r="B4" s="9" t="s">
        <v>154</v>
      </c>
      <c r="C4" s="9" t="s">
        <v>155</v>
      </c>
      <c r="D4" s="9" t="s">
        <v>59</v>
      </c>
      <c r="E4" s="9" t="s">
        <v>156</v>
      </c>
    </row>
    <row r="5" customFormat="false" ht="15" hidden="false" customHeight="false" outlineLevel="0" collapsed="false">
      <c r="A5" s="5" t="str">
        <f aca="false">IF(설정!$A$5="","",설정!$A$5)</f>
        <v>선물</v>
      </c>
      <c r="B5" s="27" t="n">
        <f aca="false">설정!$B$5</f>
        <v>900000</v>
      </c>
      <c r="C5" s="27" t="n">
        <f aca="false">SUM(선물리스트!$E$5:$E$104)</f>
        <v>142000</v>
      </c>
      <c r="D5" s="27" t="n">
        <f aca="false">B5-C5</f>
        <v>758000</v>
      </c>
      <c r="E5" s="30" t="n">
        <f aca="false">IFERROR(C5/B5,"")</f>
        <v>0.157777777777778</v>
      </c>
      <c r="F5" s="17" t="s">
        <v>157</v>
      </c>
    </row>
    <row r="6" customFormat="false" ht="15" hidden="false" customHeight="false" outlineLevel="0" collapsed="false">
      <c r="A6" s="5" t="str">
        <f aca="false">IF(설정!$A$6="","",설정!$A$6)</f>
        <v>차례·장보기</v>
      </c>
      <c r="B6" s="27" t="n">
        <f aca="false">설정!$B$6</f>
        <v>500000</v>
      </c>
      <c r="C6" s="27" t="n">
        <f aca="false">SUM(장보기체크!$E$5:$E$84)</f>
        <v>23800</v>
      </c>
      <c r="D6" s="27" t="n">
        <f aca="false">B6-C6</f>
        <v>476200</v>
      </c>
      <c r="E6" s="30" t="n">
        <f aca="false">IFERROR(C6/B6,"")</f>
        <v>0.0476</v>
      </c>
      <c r="F6" s="17" t="s">
        <v>158</v>
      </c>
    </row>
    <row r="7" customFormat="false" ht="15" hidden="false" customHeight="false" outlineLevel="0" collapsed="false">
      <c r="A7" s="5" t="str">
        <f aca="false">IF(설정!$A$7="","",설정!$A$7)</f>
        <v>여행·교통</v>
      </c>
      <c r="B7" s="27" t="n">
        <f aca="false">설정!$B$7</f>
        <v>300000</v>
      </c>
      <c r="C7" s="27" t="n">
        <f aca="false">설정!$B$11</f>
        <v>0</v>
      </c>
      <c r="D7" s="27" t="n">
        <f aca="false">B7-C7</f>
        <v>300000</v>
      </c>
      <c r="E7" s="30" t="n">
        <f aca="false">IFERROR(C7/B7,"")</f>
        <v>0</v>
      </c>
      <c r="F7" s="17" t="s">
        <v>159</v>
      </c>
    </row>
    <row r="8" customFormat="false" ht="15" hidden="false" customHeight="false" outlineLevel="0" collapsed="false">
      <c r="A8" s="13" t="s">
        <v>160</v>
      </c>
      <c r="B8" s="14" t="n">
        <f aca="false">SUM(B5:B7)</f>
        <v>1700000</v>
      </c>
      <c r="C8" s="14" t="n">
        <f aca="false">SUM(C5:C7)</f>
        <v>165800</v>
      </c>
      <c r="D8" s="14" t="n">
        <f aca="false">B8-C8</f>
        <v>1534200</v>
      </c>
      <c r="E8" s="31" t="n">
        <f aca="false">IFERROR(C8/B8,"")</f>
        <v>0.0975294117647059</v>
      </c>
      <c r="F8" s="2" t="s">
        <v>161</v>
      </c>
    </row>
    <row r="10" customFormat="false" ht="15" hidden="false" customHeight="false" outlineLevel="0" collapsed="false">
      <c r="A10" s="4" t="s">
        <v>162</v>
      </c>
      <c r="B10" s="9" t="s">
        <v>163</v>
      </c>
      <c r="C10" s="9" t="s">
        <v>164</v>
      </c>
      <c r="D10" s="9" t="s">
        <v>165</v>
      </c>
      <c r="E10" s="9" t="s">
        <v>51</v>
      </c>
    </row>
    <row r="11" customFormat="false" ht="15" hidden="false" customHeight="false" outlineLevel="0" collapsed="false">
      <c r="A11" s="5" t="str">
        <f aca="false">IF(설정!$A$14="","",설정!$A$14)</f>
        <v>부모님</v>
      </c>
      <c r="B11" s="32" t="n">
        <f aca="false">IF($A11="","",COUNTIFS(선물리스트!$A$5:$A$104,$A11))</f>
        <v>1</v>
      </c>
      <c r="C11" s="27" t="n">
        <f aca="false">IF($A11="","",SUMIFS(선물리스트!$D$5:$D$104,선물리스트!$A$5:$A$104,$A11))</f>
        <v>150000</v>
      </c>
      <c r="D11" s="27" t="n">
        <f aca="false">IF($A11="","",SUMIFS(선물리스트!$E$5:$E$104,선물리스트!$A$5:$A$104,$A11))</f>
        <v>142000</v>
      </c>
      <c r="E11" s="27" t="n">
        <f aca="false">IF($A11="","",SUMIFS(선물리스트!$H$5:$H$104,선물리스트!$A$5:$A$104,$A11))</f>
        <v>8000</v>
      </c>
      <c r="F11" s="2" t="s">
        <v>166</v>
      </c>
    </row>
    <row r="12" customFormat="false" ht="15" hidden="false" customHeight="false" outlineLevel="0" collapsed="false">
      <c r="A12" s="5" t="str">
        <f aca="false">IF(설정!$A$15="","",설정!$A$15)</f>
        <v>시부모님·처가</v>
      </c>
      <c r="B12" s="32" t="n">
        <f aca="false">IF($A12="","",COUNTIFS(선물리스트!$A$5:$A$104,$A12))</f>
        <v>0</v>
      </c>
      <c r="C12" s="27" t="n">
        <f aca="false">IF($A12="","",SUMIFS(선물리스트!$D$5:$D$104,선물리스트!$A$5:$A$104,$A12))</f>
        <v>0</v>
      </c>
      <c r="D12" s="27" t="n">
        <f aca="false">IF($A12="","",SUMIFS(선물리스트!$E$5:$E$104,선물리스트!$A$5:$A$104,$A12))</f>
        <v>0</v>
      </c>
      <c r="E12" s="27" t="n">
        <f aca="false">IF($A12="","",SUMIFS(선물리스트!$H$5:$H$104,선물리스트!$A$5:$A$104,$A12))</f>
        <v>0</v>
      </c>
    </row>
    <row r="13" customFormat="false" ht="15" hidden="false" customHeight="false" outlineLevel="0" collapsed="false">
      <c r="A13" s="5" t="str">
        <f aca="false">IF(설정!$A$16="","",설정!$A$16)</f>
        <v>조부모</v>
      </c>
      <c r="B13" s="32" t="n">
        <f aca="false">IF($A13="","",COUNTIFS(선물리스트!$A$5:$A$104,$A13))</f>
        <v>0</v>
      </c>
      <c r="C13" s="27" t="n">
        <f aca="false">IF($A13="","",SUMIFS(선물리스트!$D$5:$D$104,선물리스트!$A$5:$A$104,$A13))</f>
        <v>0</v>
      </c>
      <c r="D13" s="27" t="n">
        <f aca="false">IF($A13="","",SUMIFS(선물리스트!$E$5:$E$104,선물리스트!$A$5:$A$104,$A13))</f>
        <v>0</v>
      </c>
      <c r="E13" s="27" t="n">
        <f aca="false">IF($A13="","",SUMIFS(선물리스트!$H$5:$H$104,선물리스트!$A$5:$A$104,$A13))</f>
        <v>0</v>
      </c>
    </row>
    <row r="14" customFormat="false" ht="15" hidden="false" customHeight="false" outlineLevel="0" collapsed="false">
      <c r="A14" s="5" t="str">
        <f aca="false">IF(설정!$A$17="","",설정!$A$17)</f>
        <v>형제자매</v>
      </c>
      <c r="B14" s="32" t="n">
        <f aca="false">IF($A14="","",COUNTIFS(선물리스트!$A$5:$A$104,$A14))</f>
        <v>0</v>
      </c>
      <c r="C14" s="27" t="n">
        <f aca="false">IF($A14="","",SUMIFS(선물리스트!$D$5:$D$104,선물리스트!$A$5:$A$104,$A14))</f>
        <v>0</v>
      </c>
      <c r="D14" s="27" t="n">
        <f aca="false">IF($A14="","",SUMIFS(선물리스트!$E$5:$E$104,선물리스트!$A$5:$A$104,$A14))</f>
        <v>0</v>
      </c>
      <c r="E14" s="27" t="n">
        <f aca="false">IF($A14="","",SUMIFS(선물리스트!$H$5:$H$104,선물리스트!$A$5:$A$104,$A14))</f>
        <v>0</v>
      </c>
    </row>
    <row r="15" customFormat="false" ht="15" hidden="false" customHeight="false" outlineLevel="0" collapsed="false">
      <c r="A15" s="5" t="str">
        <f aca="false">IF(설정!$A$18="","",설정!$A$18)</f>
        <v>친척</v>
      </c>
      <c r="B15" s="32" t="n">
        <f aca="false">IF($A15="","",COUNTIFS(선물리스트!$A$5:$A$104,$A15))</f>
        <v>0</v>
      </c>
      <c r="C15" s="27" t="n">
        <f aca="false">IF($A15="","",SUMIFS(선물리스트!$D$5:$D$104,선물리스트!$A$5:$A$104,$A15))</f>
        <v>0</v>
      </c>
      <c r="D15" s="27" t="n">
        <f aca="false">IF($A15="","",SUMIFS(선물리스트!$E$5:$E$104,선물리스트!$A$5:$A$104,$A15))</f>
        <v>0</v>
      </c>
      <c r="E15" s="27" t="n">
        <f aca="false">IF($A15="","",SUMIFS(선물리스트!$H$5:$H$104,선물리스트!$A$5:$A$104,$A15))</f>
        <v>0</v>
      </c>
    </row>
    <row r="16" customFormat="false" ht="15" hidden="false" customHeight="false" outlineLevel="0" collapsed="false">
      <c r="A16" s="5" t="str">
        <f aca="false">IF(설정!$A$19="","",설정!$A$19)</f>
        <v>지인·이웃</v>
      </c>
      <c r="B16" s="32" t="n">
        <f aca="false">IF($A16="","",COUNTIFS(선물리스트!$A$5:$A$104,$A16))</f>
        <v>0</v>
      </c>
      <c r="C16" s="27" t="n">
        <f aca="false">IF($A16="","",SUMIFS(선물리스트!$D$5:$D$104,선물리스트!$A$5:$A$104,$A16))</f>
        <v>0</v>
      </c>
      <c r="D16" s="27" t="n">
        <f aca="false">IF($A16="","",SUMIFS(선물리스트!$E$5:$E$104,선물리스트!$A$5:$A$104,$A16))</f>
        <v>0</v>
      </c>
      <c r="E16" s="27" t="n">
        <f aca="false">IF($A16="","",SUMIFS(선물리스트!$H$5:$H$104,선물리스트!$A$5:$A$104,$A16))</f>
        <v>0</v>
      </c>
    </row>
    <row r="17" customFormat="false" ht="15" hidden="false" customHeight="false" outlineLevel="0" collapsed="false">
      <c r="A17" s="5" t="str">
        <f aca="false">IF(설정!$A$20="","",설정!$A$20)</f>
        <v>직장</v>
      </c>
      <c r="B17" s="32" t="n">
        <f aca="false">IF($A17="","",COUNTIFS(선물리스트!$A$5:$A$104,$A17))</f>
        <v>1</v>
      </c>
      <c r="C17" s="27" t="n">
        <f aca="false">IF($A17="","",SUMIFS(선물리스트!$D$5:$D$104,선물리스트!$A$5:$A$104,$A17))</f>
        <v>60000</v>
      </c>
      <c r="D17" s="27" t="n">
        <f aca="false">IF($A17="","",SUMIFS(선물리스트!$E$5:$E$104,선물리스트!$A$5:$A$104,$A17))</f>
        <v>0</v>
      </c>
      <c r="E17" s="27" t="n">
        <f aca="false">IF($A17="","",SUMIFS(선물리스트!$H$5:$H$104,선물리스트!$A$5:$A$104,$A17))</f>
        <v>0</v>
      </c>
    </row>
    <row r="18" customFormat="false" ht="15" hidden="false" customHeight="false" outlineLevel="0" collapsed="false">
      <c r="A18" s="5" t="str">
        <f aca="false">IF(설정!$A$21="","",설정!$A$21)</f>
        <v>기타</v>
      </c>
      <c r="B18" s="32" t="n">
        <f aca="false">IF($A18="","",COUNTIFS(선물리스트!$A$5:$A$104,$A18))</f>
        <v>0</v>
      </c>
      <c r="C18" s="27" t="n">
        <f aca="false">IF($A18="","",SUMIFS(선물리스트!$D$5:$D$104,선물리스트!$A$5:$A$104,$A18))</f>
        <v>0</v>
      </c>
      <c r="D18" s="27" t="n">
        <f aca="false">IF($A18="","",SUMIFS(선물리스트!$E$5:$E$104,선물리스트!$A$5:$A$104,$A18))</f>
        <v>0</v>
      </c>
      <c r="E18" s="27" t="n">
        <f aca="false">IF($A18="","",SUMIFS(선물리스트!$H$5:$H$104,선물리스트!$A$5:$A$104,$A18))</f>
        <v>0</v>
      </c>
    </row>
    <row r="19" customFormat="false" ht="15" hidden="false" customHeight="false" outlineLevel="0" collapsed="false">
      <c r="A19" s="13" t="s">
        <v>160</v>
      </c>
      <c r="B19" s="33" t="n">
        <f aca="false">SUM(B11:B18)</f>
        <v>2</v>
      </c>
      <c r="C19" s="14" t="n">
        <f aca="false">SUM(C11:C18)</f>
        <v>210000</v>
      </c>
      <c r="D19" s="14" t="n">
        <f aca="false">SUM(D11:D18)</f>
        <v>142000</v>
      </c>
      <c r="E19" s="14" t="n">
        <f aca="false">SUM(E11:E18)</f>
        <v>8000</v>
      </c>
      <c r="F19" s="2" t="s">
        <v>167</v>
      </c>
    </row>
    <row r="21" customFormat="false" ht="15" hidden="false" customHeight="false" outlineLevel="0" collapsed="false">
      <c r="A21" s="4" t="s">
        <v>168</v>
      </c>
      <c r="B21" s="9" t="s">
        <v>163</v>
      </c>
      <c r="C21" s="9" t="s">
        <v>164</v>
      </c>
      <c r="D21" s="9" t="s">
        <v>165</v>
      </c>
      <c r="E21" s="34"/>
    </row>
    <row r="22" customFormat="false" ht="15" hidden="false" customHeight="false" outlineLevel="0" collapsed="false">
      <c r="A22" s="5" t="str">
        <f aca="false">IF(설정!$B$14="","",설정!$B$14)</f>
        <v>계획</v>
      </c>
      <c r="B22" s="32" t="n">
        <f aca="false">IF($A22="","",COUNTIFS(선물리스트!$G$5:$G$104,$A22))</f>
        <v>0</v>
      </c>
      <c r="C22" s="27" t="n">
        <f aca="false">IF($A22="","",SUMIFS(선물리스트!$D$5:$D$104,선물리스트!$G$5:$G$104,$A22))</f>
        <v>0</v>
      </c>
      <c r="D22" s="27" t="n">
        <f aca="false">IF($A22="","",SUMIFS(선물리스트!$E$5:$E$104,선물리스트!$G$5:$G$104,$A22))</f>
        <v>0</v>
      </c>
      <c r="E22" s="35"/>
      <c r="F22" s="2" t="s">
        <v>169</v>
      </c>
    </row>
    <row r="23" customFormat="false" ht="15" hidden="false" customHeight="false" outlineLevel="0" collapsed="false">
      <c r="A23" s="5" t="str">
        <f aca="false">IF(설정!$B$15="","",설정!$B$15)</f>
        <v>주문</v>
      </c>
      <c r="B23" s="32" t="n">
        <f aca="false">IF($A23="","",COUNTIFS(선물리스트!$G$5:$G$104,$A23))</f>
        <v>1</v>
      </c>
      <c r="C23" s="27" t="n">
        <f aca="false">IF($A23="","",SUMIFS(선물리스트!$D$5:$D$104,선물리스트!$G$5:$G$104,$A23))</f>
        <v>60000</v>
      </c>
      <c r="D23" s="27" t="n">
        <f aca="false">IF($A23="","",SUMIFS(선물리스트!$E$5:$E$104,선물리스트!$G$5:$G$104,$A23))</f>
        <v>0</v>
      </c>
      <c r="E23" s="35"/>
    </row>
    <row r="24" customFormat="false" ht="15" hidden="false" customHeight="false" outlineLevel="0" collapsed="false">
      <c r="A24" s="5" t="str">
        <f aca="false">IF(설정!$B$16="","",설정!$B$16)</f>
        <v>완료</v>
      </c>
      <c r="B24" s="32" t="n">
        <f aca="false">IF($A24="","",COUNTIFS(선물리스트!$G$5:$G$104,$A24))</f>
        <v>1</v>
      </c>
      <c r="C24" s="27" t="n">
        <f aca="false">IF($A24="","",SUMIFS(선물리스트!$D$5:$D$104,선물리스트!$G$5:$G$104,$A24))</f>
        <v>150000</v>
      </c>
      <c r="D24" s="27" t="n">
        <f aca="false">IF($A24="","",SUMIFS(선물리스트!$E$5:$E$104,선물리스트!$G$5:$G$104,$A24))</f>
        <v>142000</v>
      </c>
      <c r="E24" s="35"/>
    </row>
    <row r="26" customFormat="false" ht="15" hidden="false" customHeight="false" outlineLevel="0" collapsed="false">
      <c r="A26" s="4" t="s">
        <v>170</v>
      </c>
      <c r="B26" s="9" t="s">
        <v>171</v>
      </c>
      <c r="C26" s="9" t="s">
        <v>172</v>
      </c>
    </row>
    <row r="27" customFormat="false" ht="25.35" hidden="false" customHeight="false" outlineLevel="0" collapsed="false">
      <c r="A27" s="5" t="s">
        <v>173</v>
      </c>
      <c r="B27" s="32" t="n">
        <f aca="false">COUNTIF(선물리스트!$C$5:$C$104,"&lt;&gt;")</f>
        <v>2</v>
      </c>
      <c r="C27" s="11" t="s">
        <v>174</v>
      </c>
    </row>
    <row r="28" customFormat="false" ht="25.35" hidden="false" customHeight="false" outlineLevel="0" collapsed="false">
      <c r="A28" s="5" t="s">
        <v>175</v>
      </c>
      <c r="B28" s="32" t="n">
        <f aca="false">B24</f>
        <v>1</v>
      </c>
      <c r="C28" s="12" t="s">
        <v>176</v>
      </c>
    </row>
    <row r="29" customFormat="false" ht="25.35" hidden="false" customHeight="false" outlineLevel="0" collapsed="false">
      <c r="A29" s="5" t="s">
        <v>63</v>
      </c>
      <c r="B29" s="30" t="n">
        <f aca="false">IFERROR(B28/B27,"")</f>
        <v>0.5</v>
      </c>
      <c r="C29" s="12" t="s">
        <v>177</v>
      </c>
    </row>
    <row r="30" customFormat="false" ht="25.35" hidden="false" customHeight="false" outlineLevel="0" collapsed="false">
      <c r="A30" s="5" t="s">
        <v>178</v>
      </c>
      <c r="B30" s="32" t="n">
        <f aca="false">COUNTIF(장보기체크!$B$5:$B$84,"&lt;&gt;")</f>
        <v>2</v>
      </c>
      <c r="C30" s="11" t="s">
        <v>179</v>
      </c>
    </row>
    <row r="31" customFormat="false" ht="25.35" hidden="false" customHeight="false" outlineLevel="0" collapsed="false">
      <c r="A31" s="5" t="s">
        <v>180</v>
      </c>
      <c r="B31" s="32" t="n">
        <f aca="false">COUNTIF(장보기체크!$F$5:$F$84,"O")</f>
        <v>1</v>
      </c>
      <c r="C31" s="11" t="s">
        <v>181</v>
      </c>
    </row>
    <row r="32" customFormat="false" ht="25.35" hidden="false" customHeight="false" outlineLevel="0" collapsed="false">
      <c r="A32" s="5" t="s">
        <v>182</v>
      </c>
      <c r="B32" s="30" t="n">
        <f aca="false">IFERROR(B31/B30,"")</f>
        <v>0.5</v>
      </c>
      <c r="C32" s="12" t="s">
        <v>183</v>
      </c>
    </row>
    <row r="33" customFormat="false" ht="37.3" hidden="false" customHeight="false" outlineLevel="0" collapsed="false">
      <c r="A33" s="13" t="s">
        <v>65</v>
      </c>
      <c r="B33" s="31" t="n">
        <f aca="false">IFERROR((B28+B31)/(B27+B30),"")</f>
        <v>0.5</v>
      </c>
      <c r="C33" s="36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3" t="s">
        <v>185</v>
      </c>
      <c r="B2" s="4" t="s">
        <v>29</v>
      </c>
      <c r="C2" s="34"/>
      <c r="D2" s="34"/>
      <c r="E2" s="34"/>
    </row>
    <row r="3" customFormat="false" ht="15" hidden="false" customHeight="false" outlineLevel="0" collapsed="false">
      <c r="A3" s="5" t="s">
        <v>186</v>
      </c>
      <c r="B3" s="8" t="s">
        <v>187</v>
      </c>
      <c r="C3" s="35"/>
      <c r="D3" s="35"/>
      <c r="E3" s="35"/>
    </row>
    <row r="4" customFormat="false" ht="39.55" hidden="false" customHeight="false" outlineLevel="0" collapsed="false">
      <c r="A4" s="5" t="s">
        <v>188</v>
      </c>
      <c r="B4" s="8" t="s">
        <v>189</v>
      </c>
      <c r="C4" s="35"/>
      <c r="D4" s="35"/>
      <c r="E4" s="35"/>
    </row>
    <row r="5" customFormat="false" ht="52.2" hidden="false" customHeight="false" outlineLevel="0" collapsed="false">
      <c r="A5" s="5" t="s">
        <v>190</v>
      </c>
      <c r="B5" s="6" t="s">
        <v>191</v>
      </c>
      <c r="C5" s="35"/>
      <c r="D5" s="35"/>
      <c r="E5" s="35"/>
    </row>
    <row r="6" customFormat="false" ht="77.6" hidden="false" customHeight="false" outlineLevel="0" collapsed="false">
      <c r="A6" s="5" t="s">
        <v>192</v>
      </c>
      <c r="B6" s="6" t="s">
        <v>193</v>
      </c>
      <c r="C6" s="35"/>
      <c r="D6" s="35"/>
      <c r="E6" s="35"/>
    </row>
    <row r="7" customFormat="false" ht="26.85" hidden="false" customHeight="false" outlineLevel="0" collapsed="false">
      <c r="A7" s="5" t="s">
        <v>194</v>
      </c>
      <c r="B7" s="8" t="s">
        <v>195</v>
      </c>
      <c r="C7" s="35"/>
      <c r="D7" s="35"/>
      <c r="E7" s="35"/>
    </row>
    <row r="8" customFormat="false" ht="15" hidden="false" customHeight="false" outlineLevel="0" collapsed="false">
      <c r="A8" s="2" t="s">
        <v>196</v>
      </c>
    </row>
    <row r="9" customFormat="false" ht="15" hidden="false" customHeight="false" outlineLevel="0" collapsed="false">
      <c r="A9" s="9" t="s">
        <v>197</v>
      </c>
      <c r="B9" s="9" t="s">
        <v>198</v>
      </c>
      <c r="C9" s="9" t="s">
        <v>199</v>
      </c>
      <c r="D9" s="9" t="s">
        <v>200</v>
      </c>
      <c r="E9" s="9" t="s">
        <v>130</v>
      </c>
    </row>
    <row r="10" customFormat="false" ht="15" hidden="false" customHeight="false" outlineLevel="0" collapsed="false">
      <c r="A10" s="29"/>
      <c r="B10" s="29"/>
      <c r="C10" s="16"/>
      <c r="D10" s="16"/>
      <c r="E10" s="16"/>
    </row>
    <row r="11" customFormat="false" ht="15" hidden="false" customHeight="false" outlineLevel="0" collapsed="false">
      <c r="A11" s="29"/>
      <c r="B11" s="29"/>
      <c r="C11" s="16"/>
      <c r="D11" s="16"/>
      <c r="E11" s="16"/>
    </row>
    <row r="12" customFormat="false" ht="15" hidden="false" customHeight="false" outlineLevel="0" collapsed="false">
      <c r="A12" s="29"/>
      <c r="B12" s="29"/>
      <c r="C12" s="16"/>
      <c r="D12" s="16"/>
      <c r="E12" s="16"/>
    </row>
    <row r="13" customFormat="false" ht="15" hidden="false" customHeight="false" outlineLevel="0" collapsed="false">
      <c r="A13" s="29"/>
      <c r="B13" s="29"/>
      <c r="C13" s="16"/>
      <c r="D13" s="16"/>
      <c r="E13" s="16"/>
    </row>
    <row r="14" customFormat="false" ht="15" hidden="false" customHeight="false" outlineLevel="0" collapsed="false">
      <c r="A14" s="29"/>
      <c r="B14" s="29"/>
      <c r="C14" s="16"/>
      <c r="D14" s="16"/>
      <c r="E14" s="16"/>
    </row>
    <row r="15" customFormat="false" ht="15" hidden="false" customHeight="false" outlineLevel="0" collapsed="false">
      <c r="A15" s="29"/>
      <c r="B15" s="29"/>
      <c r="C15" s="16"/>
      <c r="D15" s="16"/>
      <c r="E15" s="16"/>
    </row>
    <row r="16" customFormat="false" ht="15" hidden="false" customHeight="false" outlineLevel="0" collapsed="false">
      <c r="A16" s="29"/>
      <c r="B16" s="29"/>
      <c r="C16" s="16"/>
      <c r="D16" s="16"/>
      <c r="E16" s="16"/>
    </row>
    <row r="17" customFormat="false" ht="15" hidden="false" customHeight="false" outlineLevel="0" collapsed="false">
      <c r="A17" s="29"/>
      <c r="B17" s="29"/>
      <c r="C17" s="16"/>
      <c r="D17" s="16"/>
      <c r="E17" s="16"/>
    </row>
    <row r="18" customFormat="false" ht="15" hidden="false" customHeight="false" outlineLevel="0" collapsed="false">
      <c r="A18" s="29"/>
      <c r="B18" s="29"/>
      <c r="C18" s="16"/>
      <c r="D18" s="16"/>
      <c r="E18" s="16"/>
    </row>
    <row r="19" customFormat="false" ht="15" hidden="false" customHeight="false" outlineLevel="0" collapsed="false">
      <c r="A19" s="29"/>
      <c r="B19" s="29"/>
      <c r="C19" s="16"/>
      <c r="D19" s="16"/>
      <c r="E19" s="16"/>
    </row>
    <row r="20" customFormat="false" ht="15" hidden="false" customHeight="false" outlineLevel="0" collapsed="false">
      <c r="A20" s="29"/>
      <c r="B20" s="29"/>
      <c r="C20" s="16"/>
      <c r="D20" s="16"/>
      <c r="E20" s="16"/>
    </row>
    <row r="21" customFormat="false" ht="15" hidden="false" customHeight="false" outlineLevel="0" collapsed="false">
      <c r="A21" s="29"/>
      <c r="B21" s="29"/>
      <c r="C21" s="16"/>
      <c r="D21" s="16"/>
      <c r="E21" s="16"/>
    </row>
    <row r="22" customFormat="false" ht="15" hidden="false" customHeight="false" outlineLevel="0" collapsed="false">
      <c r="A22" s="29"/>
      <c r="B22" s="29"/>
      <c r="C22" s="16"/>
      <c r="D22" s="16"/>
      <c r="E22" s="16"/>
    </row>
    <row r="23" customFormat="false" ht="15" hidden="false" customHeight="false" outlineLevel="0" collapsed="false">
      <c r="A23" s="29"/>
      <c r="B23" s="29"/>
      <c r="C23" s="16"/>
      <c r="D23" s="16"/>
      <c r="E23" s="16"/>
    </row>
    <row r="24" customFormat="false" ht="15" hidden="false" customHeight="false" outlineLevel="0" collapsed="false">
      <c r="A24" s="29"/>
      <c r="B24" s="29"/>
      <c r="C24" s="16"/>
      <c r="D24" s="16"/>
      <c r="E24" s="16"/>
    </row>
    <row r="25" customFormat="false" ht="15" hidden="false" customHeight="false" outlineLevel="0" collapsed="false">
      <c r="A25" s="29"/>
      <c r="B25" s="29"/>
      <c r="C25" s="16"/>
      <c r="D25" s="16"/>
      <c r="E25" s="16"/>
    </row>
    <row r="26" customFormat="false" ht="15" hidden="false" customHeight="false" outlineLevel="0" collapsed="false">
      <c r="A26" s="29"/>
      <c r="B26" s="29"/>
      <c r="C26" s="16"/>
      <c r="D26" s="16"/>
      <c r="E26" s="16"/>
    </row>
    <row r="27" customFormat="false" ht="15" hidden="false" customHeight="false" outlineLevel="0" collapsed="false">
      <c r="A27" s="29"/>
      <c r="B27" s="29"/>
      <c r="C27" s="16"/>
      <c r="D27" s="16"/>
      <c r="E27" s="16"/>
    </row>
    <row r="28" customFormat="false" ht="15" hidden="false" customHeight="false" outlineLevel="0" collapsed="false">
      <c r="A28" s="29"/>
      <c r="B28" s="29"/>
      <c r="C28" s="16"/>
      <c r="D28" s="16"/>
      <c r="E28" s="16"/>
    </row>
    <row r="29" customFormat="false" ht="15" hidden="false" customHeight="false" outlineLevel="0" collapsed="false">
      <c r="A29" s="29"/>
      <c r="B29" s="29"/>
      <c r="C29" s="16"/>
      <c r="D29" s="16"/>
      <c r="E29" s="16"/>
    </row>
    <row r="30" customFormat="false" ht="15" hidden="false" customHeight="false" outlineLevel="0" collapsed="false">
      <c r="A30" s="29"/>
      <c r="B30" s="29"/>
      <c r="C30" s="16"/>
      <c r="D30" s="16"/>
      <c r="E30" s="16"/>
    </row>
    <row r="31" customFormat="false" ht="15" hidden="false" customHeight="false" outlineLevel="0" collapsed="false">
      <c r="A31" s="29"/>
      <c r="B31" s="29"/>
      <c r="C31" s="16"/>
      <c r="D31" s="16"/>
      <c r="E31" s="16"/>
    </row>
    <row r="32" customFormat="false" ht="15" hidden="false" customHeight="false" outlineLevel="0" collapsed="false">
      <c r="A32" s="29"/>
      <c r="B32" s="29"/>
      <c r="C32" s="16"/>
      <c r="D32" s="16"/>
      <c r="E32" s="16"/>
    </row>
    <row r="33" customFormat="false" ht="15" hidden="false" customHeight="false" outlineLevel="0" collapsed="false">
      <c r="A33" s="29"/>
      <c r="B33" s="29"/>
      <c r="C33" s="16"/>
      <c r="D33" s="16"/>
      <c r="E33" s="16"/>
    </row>
    <row r="34" customFormat="false" ht="15" hidden="false" customHeight="false" outlineLevel="0" collapsed="false">
      <c r="A34" s="29"/>
      <c r="B34" s="29"/>
      <c r="C34" s="16"/>
      <c r="D34" s="16"/>
      <c r="E34" s="16"/>
    </row>
    <row r="35" customFormat="false" ht="15" hidden="false" customHeight="false" outlineLevel="0" collapsed="false">
      <c r="A35" s="29"/>
      <c r="B35" s="29"/>
      <c r="C35" s="16"/>
      <c r="D35" s="16"/>
      <c r="E35" s="16"/>
    </row>
    <row r="36" customFormat="false" ht="15" hidden="false" customHeight="false" outlineLevel="0" collapsed="false">
      <c r="A36" s="29"/>
      <c r="B36" s="29"/>
      <c r="C36" s="16"/>
      <c r="D36" s="16"/>
      <c r="E36" s="16"/>
    </row>
    <row r="37" customFormat="false" ht="15" hidden="false" customHeight="false" outlineLevel="0" collapsed="false">
      <c r="A37" s="29"/>
      <c r="B37" s="29"/>
      <c r="C37" s="16"/>
      <c r="D37" s="16"/>
      <c r="E37" s="16"/>
    </row>
    <row r="38" customFormat="false" ht="15" hidden="false" customHeight="false" outlineLevel="0" collapsed="false">
      <c r="A38" s="29"/>
      <c r="B38" s="29"/>
      <c r="C38" s="16"/>
      <c r="D38" s="16"/>
      <c r="E38" s="16"/>
    </row>
    <row r="39" customFormat="false" ht="15" hidden="false" customHeight="false" outlineLevel="0" collapsed="false">
      <c r="A39" s="29"/>
      <c r="B39" s="29"/>
      <c r="C39" s="16"/>
      <c r="D39" s="16"/>
      <c r="E3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2026-08-12T15:24:07Z</dcterms:created>
  <dc:creator>openpyxl</dc:creator>
  <dc:description/>
  <dc:language>en-US</dc:language>
  <cp:lastModifiedBy/>
  <dcterms:modified xsi:type="dcterms:W3CDTF">2026-08-12T15:24:07Z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