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설정" sheetId="2" state="visible" r:id="rId4"/>
    <sheet name="주문트래커" sheetId="3" state="visible" r:id="rId5"/>
    <sheet name="대시보드" sheetId="4" state="visible" r:id="rId6"/>
    <sheet name="공급처메모" sheetId="5" state="visible" r:id="rId7"/>
  </sheets>
  <definedNames>
    <definedName function="false" hidden="false" name="상태목록" vbProcedure="false">설정!$A$11:$A$15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<sst xmlns="http://schemas.openxmlformats.org/spreadsheetml/2006/main" count="156" uniqueCount="136">
  <si>
    <t xml:space="preserve">위탁판매 주문·발주 트래커</t>
  </si>
  <si>
    <t xml:space="preserve">주문이 들어오면 한 줄 추가하고, 발주하면 발주일을 적는다 — 그것만 하면 정산예정액·순이익·발주지연이 자동으로 계산됩니다.</t>
  </si>
  <si>
    <t xml:space="preserve">[1] 색상 규칙</t>
  </si>
  <si>
    <t xml:space="preserve">파란 글씨</t>
  </si>
  <si>
    <t xml:space="preserve">직접 입력하는 칸입니다. 이 색 글씨의 칸에만 값을 채우세요.</t>
  </si>
  <si>
    <t xml:space="preserve">노란 배경</t>
  </si>
  <si>
    <t xml:space="preserve">반드시 확인하고 채워야 하는 칸입니다. ([설정] 시트의 수수료율·지연 기준일, [대시보드]의 시작월, [주문트래커]의 '필수' 표시 열)</t>
  </si>
  <si>
    <t xml:space="preserve">검정 글씨</t>
  </si>
  <si>
    <t xml:space="preserve">자동 계산되는 수식 칸입니다. 지우거나 덮어쓰지 마세요.</t>
  </si>
  <si>
    <t xml:space="preserve">진한 남색 줄</t>
  </si>
  <si>
    <t xml:space="preserve">표의 머리글(제목) 행입니다.</t>
  </si>
  <si>
    <t xml:space="preserve">머리글 위의 띠</t>
  </si>
  <si>
    <t xml:space="preserve">[주문트래커] 머리글 바로 위 띠는 각 열을 '언제' 채우는지 알려줍니다. 필수 = 주문 받자마자 / 선택 = 있으면 좋은 정보 / 나중입력 = 발주·출고 후에 채움 / 자동 = 손대지 않음</t>
  </si>
  <si>
    <t xml:space="preserve">[2] 운영 흐름 (이 3단계만 반복하면 됩니다)</t>
  </si>
  <si>
    <t xml:space="preserve">1단계  주문</t>
  </si>
  <si>
    <t xml:space="preserve">주문이 들어오면 [주문트래커]에 1행을 추가합니다. 주문일·주문번호·상품명·수량·판매가·도매원가·공급배송비를 적고 상태는 '신규'로 둡니다.</t>
  </si>
  <si>
    <t xml:space="preserve">2단계  발주</t>
  </si>
  <si>
    <t xml:space="preserve">도매처에 발주하고 결제하면, 같은 행의 발주일과 도매 주문번호를 적고 상태를 '발주완료'로 바꿉니다.</t>
  </si>
  <si>
    <t xml:space="preserve">3단계  출고</t>
  </si>
  <si>
    <t xml:space="preserve">도매처에서 운송장번호가 나오면 운송장번호 칸에 적고 상태를 '배송중'으로, 구매확정되면 '구매확정'으로 바꿉니다. (취소된 건은 '취소')</t>
  </si>
  <si>
    <t xml:space="preserve">매일 아침</t>
  </si>
  <si>
    <t xml:space="preserve">[대시보드]의 '② 지금 발주해야 할 것'만 보면 오늘 발주할 건수와 필요한 현금이 바로 나옵니다. 발주지연 칸에 '지연!' 이 뜬 주문부터 처리하세요.</t>
  </si>
  <si>
    <t xml:space="preserve">[3] 예시 행 안내</t>
  </si>
  <si>
    <t xml:space="preserve">[주문트래커] 4행·5행은 사용법을 보여주기 위한 예시입니다. 실제로 쓰기 전에 파란 글씨 칸의 값만 지우세요.</t>
  </si>
  <si>
    <t xml:space="preserve">검정 글씨인 매출액·정산예정액·순이익·발주지연 칸은 수식이므로 지우지 마세요. 실수로 지웠다면 바로 위/아래 행의 같은 칸을 복사해 붙여넣으면 됩니다.</t>
  </si>
  <si>
    <t xml:space="preserve">5행은 상태가 '신규'인 예시입니다. 주문일에서 지연 기준일이 지나면 발주지연 칸에 '지연!' 이 표시됩니다 — 고장이 아니라 기능이 동작하는 모습입니다.</t>
  </si>
  <si>
    <t xml:space="preserve">[4] 시트 구성</t>
  </si>
  <si>
    <t xml:space="preserve">설정</t>
  </si>
  <si>
    <t xml:space="preserve">수수료율·상태 목록·발주 지연 기준일. 내 스토어 조건에 맞게 여기부터 고칩니다.</t>
  </si>
  <si>
    <t xml:space="preserve">주문트래커</t>
  </si>
  <si>
    <t xml:space="preserve">주문 1건 = 1행. 400건(4~403행) 분량의 수식이 들어 있습니다.</t>
  </si>
  <si>
    <t xml:space="preserve">대시보드</t>
  </si>
  <si>
    <t xml:space="preserve">상태별 현황, 지금 발주해야 할 건수와 현금, 누적 실적, 월별 12개월 집계.</t>
  </si>
  <si>
    <t xml:space="preserve">공급처메모</t>
  </si>
  <si>
    <t xml:space="preserve">도매처 연락처·배송 마감시간을 적어두는 수동 메모 시트입니다.</t>
  </si>
  <si>
    <t xml:space="preserve">[5] 알아두기</t>
  </si>
  <si>
    <t xml:space="preserve">정산예정액 = 매출액 × (1 − 주문관리 수수료율 − 네이버쇼핑 수수료율). 실제 정산액은 결제수단·등급·프로모션·배송비 정책에 따라 달라지므로 참고용 추정치입니다.</t>
  </si>
  <si>
    <t xml:space="preserve">순이익 = 정산예정액 − (도매원가 × 수량 + 공급배송비). 광고비·포장비·부가세는 포함되지 않습니다.</t>
  </si>
  <si>
    <t xml:space="preserve">네이버쇼핑 유입이 아닌 주문이 대부분이라면 [설정]에서 네이버쇼핑 수수료율을 0 으로 두고 쓰세요.</t>
  </si>
  <si>
    <t xml:space="preserve">주문이 400건을 넘으면 마지막 행(403행)을 복사해 아래로 붙여넣고, [대시보드]의 수식 범위도 같은 행까지 늘려주세요.</t>
  </si>
  <si>
    <t xml:space="preserve">'지연!' 판정은 파일을 여는 날짜(TODAY) 기준으로 매일 다시 계산됩니다.</t>
  </si>
  <si>
    <t xml:space="preserve">매크로가 없는 순수 엑셀 파일입니다. 엑셀 2010 이상에서 열립니다. (구글 시트에서도 열리지만 드롭다운·표시 서식은 일부 다르게 보일 수 있습니다.)</t>
  </si>
  <si>
    <t xml:space="preserve">재배포·재판매 금지</t>
  </si>
  <si>
    <t xml:space="preserve">구매자 본인의 사업장에서만 사용할 수 있습니다. 파일 원본의 공유·재판매를 금합니다.</t>
  </si>
  <si>
    <t xml:space="preserve">노란 배경 칸을 내 스토어 조건에 맞게 바꾸세요. [주문트래커]와 [대시보드]가 자동으로 따라갑니다.</t>
  </si>
  <si>
    <t xml:space="preserve">설정 항목</t>
  </si>
  <si>
    <t xml:space="preserve">값</t>
  </si>
  <si>
    <t xml:space="preserve">설명</t>
  </si>
  <si>
    <t xml:space="preserve">주문관리 수수료율</t>
  </si>
  <si>
    <t xml:space="preserve">스마트스토어 주문관리 수수료. 기본값은 신용/체크카드 기준 3.63%입니다. 결제수단마다 다르니 정산내역에서 확인 후 바꾸세요.</t>
  </si>
  <si>
    <t xml:space="preserve">네이버쇼핑 수수료율</t>
  </si>
  <si>
    <t xml:space="preserve">네이버쇼핑 검색으로 들어온 주문에 붙는 매출연동 수수료(기본 2%). 해당이 없으면 0 으로 바꾸면 계산에서 빠집니다.</t>
  </si>
  <si>
    <t xml:space="preserve">수수료 합계</t>
  </si>
  <si>
    <t xml:space="preserve">← 정산예정액 계산에 쓰이는 값입니다. (자동)</t>
  </si>
  <si>
    <t xml:space="preserve">발주 지연 기준일</t>
  </si>
  <si>
    <t xml:space="preserve">상태가 '신규'인 주문이 주문일로부터 이 일수 이상 지나면 [주문트래커]의 발주지연 칸에 '지연!' 이 뜹니다.</t>
  </si>
  <si>
    <t xml:space="preserve">상태 목록</t>
  </si>
  <si>
    <t xml:space="preserve">신규</t>
  </si>
  <si>
    <t xml:space="preserve">주문은 들어왔지만 아직 도매처에 발주하지 않은 상태 (= 미발주)</t>
  </si>
  <si>
    <t xml:space="preserve">발주완료</t>
  </si>
  <si>
    <t xml:space="preserve">도매처에 발주하고 결제까지 마친 상태</t>
  </si>
  <si>
    <t xml:space="preserve">배송중</t>
  </si>
  <si>
    <t xml:space="preserve">도매처가 출고해 운송장번호가 나온 상태</t>
  </si>
  <si>
    <t xml:space="preserve">구매확정</t>
  </si>
  <si>
    <t xml:space="preserve">구매확정되어 정산이 확정된 상태</t>
  </si>
  <si>
    <t xml:space="preserve">취소</t>
  </si>
  <si>
    <t xml:space="preserve">주문 취소·반품으로 종료된 상태</t>
  </si>
  <si>
    <t xml:space="preserve">※ 상태 이름은 바꿔도 됩니다. 바꾸면 [주문트래커]의 드롭다운과 [대시보드]의 집계 항목이 함께 바뀝니다. 다만 행을 추가하거나 지우지는 마세요 (5개 고정). 이미 입력한 주문의 상태 글자는 자동으로 바뀌지 않으니 직접 고쳐야 합니다.</t>
  </si>
  <si>
    <t xml:space="preserve">주문 1건 = 1행. 파란 글씨 칸만 채우면 오른쪽 4개 칸은 자동으로 계산됩니다.</t>
  </si>
  <si>
    <t xml:space="preserve">필수</t>
  </si>
  <si>
    <t xml:space="preserve">선택</t>
  </si>
  <si>
    <t xml:space="preserve">나중입력</t>
  </si>
  <si>
    <t xml:space="preserve">자동</t>
  </si>
  <si>
    <t xml:space="preserve">주문일</t>
  </si>
  <si>
    <t xml:space="preserve">주문번호</t>
  </si>
  <si>
    <t xml:space="preserve">상품명</t>
  </si>
  <si>
    <t xml:space="preserve">옵션</t>
  </si>
  <si>
    <t xml:space="preserve">수량</t>
  </si>
  <si>
    <t xml:space="preserve">판매가(개당)</t>
  </si>
  <si>
    <t xml:space="preserve">도매원가(개당)</t>
  </si>
  <si>
    <t xml:space="preserve">공급배송비</t>
  </si>
  <si>
    <t xml:space="preserve">상태</t>
  </si>
  <si>
    <t xml:space="preserve">발주일</t>
  </si>
  <si>
    <t xml:space="preserve">도매 주문번호</t>
  </si>
  <si>
    <t xml:space="preserve">운송장번호</t>
  </si>
  <si>
    <t xml:space="preserve">매출액(자동)</t>
  </si>
  <si>
    <t xml:space="preserve">정산예정액(자동)</t>
  </si>
  <si>
    <t xml:space="preserve">순이익(자동)</t>
  </si>
  <si>
    <t xml:space="preserve">발주지연(자동)</t>
  </si>
  <si>
    <t xml:space="preserve">2026081012345</t>
  </si>
  <si>
    <t xml:space="preserve">차량용 무선 미니 청소기</t>
  </si>
  <si>
    <t xml:space="preserve">화이트/기본형</t>
  </si>
  <si>
    <t xml:space="preserve">DG-2608-00871</t>
  </si>
  <si>
    <t xml:space="preserve">123456789012</t>
  </si>
  <si>
    <t xml:space="preserve">2026081212346</t>
  </si>
  <si>
    <t xml:space="preserve">실리콘 주방 집게 3종 세트</t>
  </si>
  <si>
    <t xml:space="preserve">블랙/3P</t>
  </si>
  <si>
    <t xml:space="preserve">[주문트래커]에 입력하면 자동으로 채워집니다. 직접 입력하는 칸은 아래 ④의 시작월 하나뿐입니다.</t>
  </si>
  <si>
    <t xml:space="preserve">① 상태별 현황</t>
  </si>
  <si>
    <t xml:space="preserve">건수</t>
  </si>
  <si>
    <t xml:space="preserve">매출액 합계</t>
  </si>
  <si>
    <t xml:space="preserve">합계</t>
  </si>
  <si>
    <t xml:space="preserve">② 지금 발주해야 할 것 (미발주)</t>
  </si>
  <si>
    <t xml:space="preserve">미발주(신규) 건수</t>
  </si>
  <si>
    <t xml:space="preserve">← 아직 도매처에 발주하지 않은 주문 수</t>
  </si>
  <si>
    <t xml:space="preserve">발주에 필요한 현금</t>
  </si>
  <si>
    <t xml:space="preserve">← 미발주 주문의 (도매원가 × 수량 + 공급배송비) 합계. 정산예정액 합계 − 순이익 합계로 구합니다.</t>
  </si>
  <si>
    <t xml:space="preserve">발주지연 건수</t>
  </si>
  <si>
    <t xml:space="preserve">← [설정]의 지연 기준일을 넘긴 미발주 주문 수. 이것부터 처리하세요.</t>
  </si>
  <si>
    <t xml:space="preserve">③ 누적 실적 (전체 기간)</t>
  </si>
  <si>
    <t xml:space="preserve">누적 주문 건수</t>
  </si>
  <si>
    <t xml:space="preserve">← 주문번호가 입력된 행 수</t>
  </si>
  <si>
    <t xml:space="preserve">누적 매출액</t>
  </si>
  <si>
    <t xml:space="preserve">누적 정산예정액</t>
  </si>
  <si>
    <t xml:space="preserve">누적 순이익</t>
  </si>
  <si>
    <t xml:space="preserve">누적 순이익률</t>
  </si>
  <si>
    <t xml:space="preserve">← 누적 순이익 ÷ 누적 매출액</t>
  </si>
  <si>
    <t xml:space="preserve">④ 월별 집계 (12개월)</t>
  </si>
  <si>
    <t xml:space="preserve">파란 글씨인 시작월만 바꾸면 12개월 전체가 따라 이동합니다. 그 달의 1일 날짜(예: 2026-08-01)로 입력하세요.</t>
  </si>
  <si>
    <t xml:space="preserve">월</t>
  </si>
  <si>
    <t xml:space="preserve">주문 건수</t>
  </si>
  <si>
    <t xml:space="preserve">매출액</t>
  </si>
  <si>
    <t xml:space="preserve">정산예정액</t>
  </si>
  <si>
    <t xml:space="preserve">순이익</t>
  </si>
  <si>
    <t xml:space="preserve">12개월 합계</t>
  </si>
  <si>
    <t xml:space="preserve">도매처 정보를 직접 적어두는 시트입니다. 자동 계산은 없습니다. 배송 마감시간을 적어두면 오늘 발주가 언제까지 가능한지 바로 알 수 있습니다.</t>
  </si>
  <si>
    <t xml:space="preserve">공급처명</t>
  </si>
  <si>
    <t xml:space="preserve">도매 사이트</t>
  </si>
  <si>
    <t xml:space="preserve">배송 마감시간</t>
  </si>
  <si>
    <t xml:space="preserve">고객센터</t>
  </si>
  <si>
    <t xml:space="preserve">메모</t>
  </si>
  <si>
    <t xml:space="preserve">(예시) 도매꾹 - 리빙마켓</t>
  </si>
  <si>
    <t xml:space="preserve">domeggook.com</t>
  </si>
  <si>
    <t xml:space="preserve">평일 14:00</t>
  </si>
  <si>
    <t xml:space="preserve">사이트 내 판매자 문의 게시판</t>
  </si>
  <si>
    <t xml:space="preserve">예시 행입니다 — 지우고 쓰세요. 공급배송비 2,500원 별도 · 주말 발주는 월요일 출고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</si>
</sst>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\일"/>
    <numFmt numFmtId="167" formatCode="yyyy\-mm\-dd"/>
    <numFmt numFmtId="168" formatCode="@"/>
    <numFmt numFmtId="169" formatCode="#,##0\개"/>
    <numFmt numFmtId="170" formatCode="#,##0\원"/>
    <numFmt numFmtId="171" formatCode="#,##0\건"/>
    <numFmt numFmtId="172" formatCode="yyyy\-mm"/>
  </numFmts>
  <fonts count="21">
    <font>
      <sz val="11"/>
      <color theme="1"/>
      <name val="Malgun Gothic"/>
      <family val="2"/>
      <charset val="1"/>
    </font>
    <font>
      <sz val="10"/>
      <name val="Malgun Gothic"/>
      <family val="0"/>
    </font>
    <font>
      <sz val="10"/>
      <name val="Malgun Gothic"/>
      <family val="0"/>
    </font>
    <font>
      <sz val="10"/>
      <name val="Malgun Gothic"/>
      <family val="0"/>
    </font>
    <font>
      <b val="true"/>
      <sz val="15"/>
      <color rgb="FF1F4E79"/>
      <name val="Malgun Gothic"/>
      <family val="2"/>
    </font>
    <font>
      <b val="true"/>
      <sz val="15"/>
      <color rgb="FF1F4E79"/>
      <name val="Malgun Gothic"/>
      <family val="0"/>
      <charset val="1"/>
    </font>
    <font>
      <sz val="10"/>
      <color rgb="FF595959"/>
      <name val="Malgun Gothic"/>
      <family val="2"/>
    </font>
    <font>
      <sz val="10"/>
      <color rgb="FF595959"/>
      <name val="Malgun Gothic"/>
      <family val="0"/>
      <charset val="1"/>
    </font>
    <font>
      <b val="true"/>
      <sz val="11"/>
      <color rgb="FF1F4E79"/>
      <name val="Malgun Gothic"/>
      <family val="0"/>
      <charset val="1"/>
    </font>
    <font>
      <b val="true"/>
      <sz val="11"/>
      <color rgb="FF1F4E79"/>
      <name val="Malgun Gothic"/>
      <family val="2"/>
    </font>
    <font>
      <b val="true"/>
      <sz val="10"/>
      <color rgb="FF000000"/>
      <name val="Malgun Gothic"/>
      <family val="2"/>
    </font>
    <font>
      <sz val="10"/>
      <color rgb="FF0000FF"/>
      <name val="Malgun Gothic"/>
      <family val="2"/>
    </font>
    <font>
      <sz val="10"/>
      <color rgb="FF0000FF"/>
      <name val="Malgun Gothic"/>
      <family val="0"/>
      <charset val="1"/>
    </font>
    <font>
      <sz val="10"/>
      <color rgb="FF000000"/>
      <name val="Malgun Gothic"/>
      <family val="2"/>
    </font>
    <font>
      <sz val="10"/>
      <color rgb="FF000000"/>
      <name val="Malgun Gothic"/>
      <family val="0"/>
      <charset val="1"/>
    </font>
    <font>
      <b val="true"/>
      <sz val="10"/>
      <color rgb="FF000000"/>
      <name val="Malgun Gothic"/>
      <family val="0"/>
      <charset val="1"/>
    </font>
    <font>
      <b val="true"/>
      <sz val="10"/>
      <color rgb="FF1F4E79"/>
      <name val="Malgun Gothic"/>
      <family val="2"/>
    </font>
    <font>
      <b val="true"/>
      <sz val="10"/>
      <color rgb="FF1F4E79"/>
      <name val="Malgun Gothic"/>
      <family val="0"/>
      <charset val="1"/>
    </font>
    <font>
      <b val="true"/>
      <sz val="10"/>
      <color rgb="FFFFFFFF"/>
      <name val="Malgun Gothic"/>
      <family val="2"/>
    </font>
    <font>
      <b val="true"/>
      <sz val="9"/>
      <color rgb="FF404040"/>
      <name val="Malgun Gothic"/>
      <family val="2"/>
    </font>
    <font>
      <b val="true"/>
      <sz val="10"/>
      <color rgb="FFFFFFFF"/>
      <name val="Malgun Gothi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algun Gothic" pitchFamily="0" charset="1"/>
        <a:ea typeface=""/>
        <a:cs typeface=""/>
      </a:majorFont>
      <a:minorFont>
        <a:latin typeface="Malgun Gothic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4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6" t="s">
        <v>6</v>
      </c>
    </row>
    <row r="7" customFormat="false" ht="15" hidden="false" customHeight="false" outlineLevel="0" collapsed="false">
      <c r="A7" s="4" t="s">
        <v>7</v>
      </c>
      <c r="B7" s="7" t="s">
        <v>8</v>
      </c>
    </row>
    <row r="8" customFormat="false" ht="15" hidden="false" customHeight="false" outlineLevel="0" collapsed="false">
      <c r="A8" s="4" t="s">
        <v>9</v>
      </c>
      <c r="B8" s="7" t="s">
        <v>10</v>
      </c>
    </row>
    <row r="9" customFormat="false" ht="15" hidden="false" customHeight="false" outlineLevel="0" collapsed="false">
      <c r="A9" s="4" t="s">
        <v>11</v>
      </c>
      <c r="B9" s="8" t="s">
        <v>12</v>
      </c>
    </row>
    <row r="11" customFormat="false" ht="15" hidden="false" customHeight="false" outlineLevel="0" collapsed="false">
      <c r="A11" s="3" t="s">
        <v>13</v>
      </c>
    </row>
    <row r="12" customFormat="false" ht="14.15" hidden="false" customHeight="false" outlineLevel="0" collapsed="false">
      <c r="A12" s="9" t="s">
        <v>14</v>
      </c>
      <c r="B12" s="7" t="s">
        <v>15</v>
      </c>
    </row>
    <row r="13" customFormat="false" ht="14.15" hidden="false" customHeight="false" outlineLevel="0" collapsed="false">
      <c r="A13" s="9" t="s">
        <v>16</v>
      </c>
      <c r="B13" s="7" t="s">
        <v>17</v>
      </c>
    </row>
    <row r="14" customFormat="false" ht="14.15" hidden="false" customHeight="false" outlineLevel="0" collapsed="false">
      <c r="A14" s="9" t="s">
        <v>18</v>
      </c>
      <c r="B14" s="7" t="s">
        <v>19</v>
      </c>
    </row>
    <row r="15" customFormat="false" ht="15" hidden="false" customHeight="false" outlineLevel="0" collapsed="false">
      <c r="A15" s="4" t="s">
        <v>20</v>
      </c>
      <c r="B15" s="8" t="s">
        <v>21</v>
      </c>
    </row>
    <row r="17" customFormat="false" ht="15" hidden="false" customHeight="false" outlineLevel="0" collapsed="false">
      <c r="A17" s="3" t="s">
        <v>22</v>
      </c>
    </row>
    <row r="18" customFormat="false" ht="15" hidden="false" customHeight="false" outlineLevel="0" collapsed="false">
      <c r="B18" s="8" t="s">
        <v>23</v>
      </c>
    </row>
    <row r="19" customFormat="false" ht="15" hidden="false" customHeight="false" outlineLevel="0" collapsed="false">
      <c r="B19" s="7" t="s">
        <v>24</v>
      </c>
    </row>
    <row r="20" customFormat="false" ht="15" hidden="false" customHeight="false" outlineLevel="0" collapsed="false">
      <c r="B20" s="8" t="s">
        <v>25</v>
      </c>
    </row>
    <row r="22" customFormat="false" ht="15" hidden="false" customHeight="false" outlineLevel="0" collapsed="false">
      <c r="A22" s="3" t="s">
        <v>26</v>
      </c>
    </row>
    <row r="23" customFormat="false" ht="15" hidden="false" customHeight="false" outlineLevel="0" collapsed="false">
      <c r="A23" s="4" t="s">
        <v>27</v>
      </c>
      <c r="B23" s="7" t="s">
        <v>28</v>
      </c>
    </row>
    <row r="24" customFormat="false" ht="15" hidden="false" customHeight="false" outlineLevel="0" collapsed="false">
      <c r="A24" s="4" t="s">
        <v>29</v>
      </c>
      <c r="B24" s="7" t="s">
        <v>30</v>
      </c>
    </row>
    <row r="25" customFormat="false" ht="15" hidden="false" customHeight="false" outlineLevel="0" collapsed="false">
      <c r="A25" s="4" t="s">
        <v>31</v>
      </c>
      <c r="B25" s="7" t="s">
        <v>32</v>
      </c>
    </row>
    <row r="26" customFormat="false" ht="15" hidden="false" customHeight="false" outlineLevel="0" collapsed="false">
      <c r="A26" s="4" t="s">
        <v>33</v>
      </c>
      <c r="B26" s="7" t="s">
        <v>34</v>
      </c>
    </row>
    <row r="28" customFormat="false" ht="15" hidden="false" customHeight="false" outlineLevel="0" collapsed="false">
      <c r="A28" s="3" t="s">
        <v>35</v>
      </c>
    </row>
    <row r="29" customFormat="false" ht="15" hidden="false" customHeight="false" outlineLevel="0" collapsed="false">
      <c r="B29" s="7" t="s">
        <v>36</v>
      </c>
    </row>
    <row r="30" customFormat="false" ht="15" hidden="false" customHeight="false" outlineLevel="0" collapsed="false">
      <c r="B30" s="7" t="s">
        <v>37</v>
      </c>
    </row>
    <row r="31" customFormat="false" ht="15" hidden="false" customHeight="false" outlineLevel="0" collapsed="false">
      <c r="B31" s="7" t="s">
        <v>38</v>
      </c>
    </row>
    <row r="32" customFormat="false" ht="15" hidden="false" customHeight="false" outlineLevel="0" collapsed="false">
      <c r="B32" s="7" t="s">
        <v>39</v>
      </c>
    </row>
    <row r="33" customFormat="false" ht="15" hidden="false" customHeight="false" outlineLevel="0" collapsed="false">
      <c r="B33" s="8" t="s">
        <v>40</v>
      </c>
    </row>
    <row r="34" customFormat="false" ht="15" hidden="false" customHeight="false" outlineLevel="0" collapsed="false">
      <c r="B34" s="7" t="s">
        <v>41</v>
      </c>
    </row>
    <row r="36" customFormat="false" ht="14.15" hidden="false" customHeight="false" outlineLevel="0" collapsed="false">
      <c r="A36" s="10" t="s">
        <v>42</v>
      </c>
      <c r="B36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78"/>
  </cols>
  <sheetData>
    <row r="1" customFormat="false" ht="18.5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11" t="s">
        <v>45</v>
      </c>
      <c r="B4" s="11" t="s">
        <v>46</v>
      </c>
      <c r="C4" s="11" t="s">
        <v>47</v>
      </c>
    </row>
    <row r="5" customFormat="false" ht="15" hidden="false" customHeight="false" outlineLevel="0" collapsed="false">
      <c r="A5" s="4" t="s">
        <v>48</v>
      </c>
      <c r="B5" s="12" t="n">
        <v>0.0363</v>
      </c>
      <c r="C5" s="2" t="s">
        <v>49</v>
      </c>
    </row>
    <row r="6" customFormat="false" ht="15" hidden="false" customHeight="false" outlineLevel="0" collapsed="false">
      <c r="A6" s="4" t="s">
        <v>50</v>
      </c>
      <c r="B6" s="12" t="n">
        <v>0.02</v>
      </c>
      <c r="C6" s="2" t="s">
        <v>51</v>
      </c>
    </row>
    <row r="7" customFormat="false" ht="15" hidden="false" customHeight="false" outlineLevel="0" collapsed="false">
      <c r="A7" s="4" t="s">
        <v>52</v>
      </c>
      <c r="B7" s="13" t="n">
        <f aca="false">B5+B6</f>
        <v>0.0563</v>
      </c>
      <c r="C7" s="2" t="s">
        <v>53</v>
      </c>
    </row>
    <row r="8" customFormat="false" ht="15" hidden="false" customHeight="false" outlineLevel="0" collapsed="false">
      <c r="A8" s="4" t="s">
        <v>54</v>
      </c>
      <c r="B8" s="14" t="n">
        <v>1</v>
      </c>
      <c r="C8" s="2" t="s">
        <v>55</v>
      </c>
    </row>
    <row r="10" customFormat="false" ht="15" hidden="false" customHeight="false" outlineLevel="0" collapsed="false">
      <c r="A10" s="11" t="s">
        <v>56</v>
      </c>
      <c r="B10" s="11"/>
      <c r="C10" s="11" t="s">
        <v>47</v>
      </c>
    </row>
    <row r="11" customFormat="false" ht="15" hidden="false" customHeight="false" outlineLevel="0" collapsed="false">
      <c r="A11" s="15" t="s">
        <v>57</v>
      </c>
      <c r="C11" s="2" t="s">
        <v>58</v>
      </c>
    </row>
    <row r="12" customFormat="false" ht="15" hidden="false" customHeight="false" outlineLevel="0" collapsed="false">
      <c r="A12" s="15" t="s">
        <v>59</v>
      </c>
      <c r="C12" s="2" t="s">
        <v>60</v>
      </c>
    </row>
    <row r="13" customFormat="false" ht="15" hidden="false" customHeight="false" outlineLevel="0" collapsed="false">
      <c r="A13" s="15" t="s">
        <v>61</v>
      </c>
      <c r="C13" s="2" t="s">
        <v>62</v>
      </c>
    </row>
    <row r="14" customFormat="false" ht="15" hidden="false" customHeight="false" outlineLevel="0" collapsed="false">
      <c r="A14" s="15" t="s">
        <v>63</v>
      </c>
      <c r="C14" s="2" t="s">
        <v>64</v>
      </c>
    </row>
    <row r="15" customFormat="false" ht="15" hidden="false" customHeight="false" outlineLevel="0" collapsed="false">
      <c r="A15" s="15" t="s">
        <v>65</v>
      </c>
      <c r="C15" s="2" t="s">
        <v>66</v>
      </c>
    </row>
    <row r="17" customFormat="false" ht="15" hidden="false" customHeight="false" outlineLevel="0" collapsed="false">
      <c r="A17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6"/>
    <col collapsed="false" customWidth="true" hidden="false" outlineLevel="0" max="13" min="13" style="0" width="15"/>
    <col collapsed="false" customWidth="true" hidden="false" outlineLevel="0" max="14" min="14" style="0" width="18"/>
    <col collapsed="false" customWidth="true" hidden="false" outlineLevel="0" max="16" min="15" style="0" width="15"/>
  </cols>
  <sheetData>
    <row r="1" customFormat="false" ht="18.55" hidden="false" customHeight="false" outlineLevel="0" collapsed="false">
      <c r="A1" s="1" t="s">
        <v>29</v>
      </c>
      <c r="D1" s="2" t="s">
        <v>68</v>
      </c>
    </row>
    <row r="2" customFormat="false" ht="15" hidden="false" customHeight="false" outlineLevel="0" collapsed="false">
      <c r="A2" s="16" t="s">
        <v>69</v>
      </c>
      <c r="B2" s="16" t="s">
        <v>69</v>
      </c>
      <c r="C2" s="17" t="s">
        <v>70</v>
      </c>
      <c r="D2" s="17" t="s">
        <v>70</v>
      </c>
      <c r="E2" s="16" t="s">
        <v>69</v>
      </c>
      <c r="F2" s="16" t="s">
        <v>69</v>
      </c>
      <c r="G2" s="16" t="s">
        <v>69</v>
      </c>
      <c r="H2" s="16" t="s">
        <v>69</v>
      </c>
      <c r="I2" s="16" t="s">
        <v>69</v>
      </c>
      <c r="J2" s="17" t="s">
        <v>71</v>
      </c>
      <c r="K2" s="17" t="s">
        <v>71</v>
      </c>
      <c r="L2" s="17" t="s">
        <v>71</v>
      </c>
      <c r="M2" s="18" t="s">
        <v>72</v>
      </c>
      <c r="N2" s="18" t="s">
        <v>72</v>
      </c>
      <c r="O2" s="18" t="s">
        <v>72</v>
      </c>
      <c r="P2" s="18" t="s">
        <v>72</v>
      </c>
    </row>
    <row r="3" customFormat="false" ht="15" hidden="false" customHeight="false" outlineLevel="0" collapsed="false">
      <c r="A3" s="11" t="s">
        <v>73</v>
      </c>
      <c r="B3" s="11" t="s">
        <v>74</v>
      </c>
      <c r="C3" s="11" t="s">
        <v>75</v>
      </c>
      <c r="D3" s="11" t="s">
        <v>76</v>
      </c>
      <c r="E3" s="11" t="s">
        <v>77</v>
      </c>
      <c r="F3" s="11" t="s">
        <v>78</v>
      </c>
      <c r="G3" s="11" t="s">
        <v>79</v>
      </c>
      <c r="H3" s="11" t="s">
        <v>80</v>
      </c>
      <c r="I3" s="11" t="s">
        <v>81</v>
      </c>
      <c r="J3" s="11" t="s">
        <v>82</v>
      </c>
      <c r="K3" s="11" t="s">
        <v>83</v>
      </c>
      <c r="L3" s="11" t="s">
        <v>84</v>
      </c>
      <c r="M3" s="11" t="s">
        <v>85</v>
      </c>
      <c r="N3" s="11" t="s">
        <v>86</v>
      </c>
      <c r="O3" s="11" t="s">
        <v>87</v>
      </c>
      <c r="P3" s="11" t="s">
        <v>88</v>
      </c>
    </row>
    <row r="4" customFormat="false" ht="15" hidden="false" customHeight="false" outlineLevel="0" collapsed="false">
      <c r="A4" s="19" t="n">
        <v>46244</v>
      </c>
      <c r="B4" s="20" t="s">
        <v>89</v>
      </c>
      <c r="C4" s="5" t="s">
        <v>90</v>
      </c>
      <c r="D4" s="5" t="s">
        <v>91</v>
      </c>
      <c r="E4" s="21" t="n">
        <v>1</v>
      </c>
      <c r="F4" s="22" t="n">
        <v>13900</v>
      </c>
      <c r="G4" s="22" t="n">
        <v>7920</v>
      </c>
      <c r="H4" s="22" t="n">
        <v>2500</v>
      </c>
      <c r="I4" s="15" t="s">
        <v>59</v>
      </c>
      <c r="J4" s="19" t="n">
        <v>46244</v>
      </c>
      <c r="K4" s="20" t="s">
        <v>92</v>
      </c>
      <c r="L4" s="20" t="s">
        <v>93</v>
      </c>
      <c r="M4" s="23" t="n">
        <f aca="false">IF($B4="","",$F4*$E4)</f>
        <v>13900</v>
      </c>
      <c r="N4" s="23" t="n">
        <f aca="false">IF($B4="","",$M4*(1-설정!$B$7))</f>
        <v>13117.43</v>
      </c>
      <c r="O4" s="23" t="n">
        <f aca="false">IF($B4="","",$N4-($G4*$E4+$H4))</f>
        <v>2697.43</v>
      </c>
      <c r="P4" s="24" t="str">
        <f aca="true">IF($B4="","",IF(AND($I4=설정!$A$11,$A4&lt;&gt;"",TODAY()-$A4&gt;=설정!$B$8),"지연!",""))</f>
        <v/>
      </c>
    </row>
    <row r="5" customFormat="false" ht="15" hidden="false" customHeight="false" outlineLevel="0" collapsed="false">
      <c r="A5" s="19" t="n">
        <v>46246</v>
      </c>
      <c r="B5" s="20" t="s">
        <v>94</v>
      </c>
      <c r="C5" s="5" t="s">
        <v>95</v>
      </c>
      <c r="D5" s="5" t="s">
        <v>96</v>
      </c>
      <c r="E5" s="21" t="n">
        <v>2</v>
      </c>
      <c r="F5" s="22" t="n">
        <v>9900</v>
      </c>
      <c r="G5" s="22" t="n">
        <v>4300</v>
      </c>
      <c r="H5" s="22" t="n">
        <v>2500</v>
      </c>
      <c r="I5" s="15" t="s">
        <v>57</v>
      </c>
      <c r="J5" s="19"/>
      <c r="K5" s="20"/>
      <c r="L5" s="20"/>
      <c r="M5" s="23" t="n">
        <f aca="false">IF($B5="","",$F5*$E5)</f>
        <v>19800</v>
      </c>
      <c r="N5" s="23" t="n">
        <f aca="false">IF($B5="","",$M5*(1-설정!$B$7))</f>
        <v>18685.26</v>
      </c>
      <c r="O5" s="23" t="n">
        <f aca="false">IF($B5="","",$N5-($G5*$E5+$H5))</f>
        <v>7585.26</v>
      </c>
      <c r="P5" s="24" t="str">
        <f aca="true">IF($B5="","",IF(AND($I5=설정!$A$11,$A5&lt;&gt;"",TODAY()-$A5&gt;=설정!$B$8),"지연!",""))</f>
        <v/>
      </c>
    </row>
    <row r="6" customFormat="false" ht="15" hidden="false" customHeight="false" outlineLevel="0" collapsed="false">
      <c r="A6" s="19"/>
      <c r="B6" s="20"/>
      <c r="C6" s="5"/>
      <c r="D6" s="5"/>
      <c r="E6" s="21"/>
      <c r="F6" s="22"/>
      <c r="G6" s="22"/>
      <c r="H6" s="22"/>
      <c r="I6" s="15"/>
      <c r="J6" s="19"/>
      <c r="K6" s="20"/>
      <c r="L6" s="20"/>
      <c r="M6" s="23" t="str">
        <f aca="false">IF($B6="","",$F6*$E6)</f>
        <v/>
      </c>
      <c r="N6" s="23" t="str">
        <f aca="false">IF($B6="","",$M6*(1-설정!$B$7))</f>
        <v/>
      </c>
      <c r="O6" s="23" t="str">
        <f aca="false">IF($B6="","",$N6-($G6*$E6+$H6))</f>
        <v/>
      </c>
      <c r="P6" s="24" t="str">
        <f aca="true">IF($B6="","",IF(AND($I6=설정!$A$11,$A6&lt;&gt;"",TODAY()-$A6&gt;=설정!$B$8),"지연!",""))</f>
        <v/>
      </c>
    </row>
    <row r="7" customFormat="false" ht="15" hidden="false" customHeight="false" outlineLevel="0" collapsed="false">
      <c r="A7" s="19"/>
      <c r="B7" s="20"/>
      <c r="C7" s="5"/>
      <c r="D7" s="5"/>
      <c r="E7" s="21"/>
      <c r="F7" s="22"/>
      <c r="G7" s="22"/>
      <c r="H7" s="22"/>
      <c r="I7" s="15"/>
      <c r="J7" s="19"/>
      <c r="K7" s="20"/>
      <c r="L7" s="20"/>
      <c r="M7" s="23" t="str">
        <f aca="false">IF($B7="","",$F7*$E7)</f>
        <v/>
      </c>
      <c r="N7" s="23" t="str">
        <f aca="false">IF($B7="","",$M7*(1-설정!$B$7))</f>
        <v/>
      </c>
      <c r="O7" s="23" t="str">
        <f aca="false">IF($B7="","",$N7-($G7*$E7+$H7))</f>
        <v/>
      </c>
      <c r="P7" s="24" t="str">
        <f aca="true">IF($B7="","",IF(AND($I7=설정!$A$11,$A7&lt;&gt;"",TODAY()-$A7&gt;=설정!$B$8),"지연!",""))</f>
        <v/>
      </c>
    </row>
    <row r="8" customFormat="false" ht="15" hidden="false" customHeight="false" outlineLevel="0" collapsed="false">
      <c r="A8" s="19"/>
      <c r="B8" s="20"/>
      <c r="C8" s="5"/>
      <c r="D8" s="5"/>
      <c r="E8" s="21"/>
      <c r="F8" s="22"/>
      <c r="G8" s="22"/>
      <c r="H8" s="22"/>
      <c r="I8" s="15"/>
      <c r="J8" s="19"/>
      <c r="K8" s="20"/>
      <c r="L8" s="20"/>
      <c r="M8" s="23" t="str">
        <f aca="false">IF($B8="","",$F8*$E8)</f>
        <v/>
      </c>
      <c r="N8" s="23" t="str">
        <f aca="false">IF($B8="","",$M8*(1-설정!$B$7))</f>
        <v/>
      </c>
      <c r="O8" s="23" t="str">
        <f aca="false">IF($B8="","",$N8-($G8*$E8+$H8))</f>
        <v/>
      </c>
      <c r="P8" s="24" t="str">
        <f aca="true">IF($B8="","",IF(AND($I8=설정!$A$11,$A8&lt;&gt;"",TODAY()-$A8&gt;=설정!$B$8),"지연!",""))</f>
        <v/>
      </c>
    </row>
    <row r="9" customFormat="false" ht="15" hidden="false" customHeight="false" outlineLevel="0" collapsed="false">
      <c r="A9" s="19"/>
      <c r="B9" s="20"/>
      <c r="C9" s="5"/>
      <c r="D9" s="5"/>
      <c r="E9" s="21"/>
      <c r="F9" s="22"/>
      <c r="G9" s="22"/>
      <c r="H9" s="22"/>
      <c r="I9" s="15"/>
      <c r="J9" s="19"/>
      <c r="K9" s="20"/>
      <c r="L9" s="20"/>
      <c r="M9" s="23" t="str">
        <f aca="false">IF($B9="","",$F9*$E9)</f>
        <v/>
      </c>
      <c r="N9" s="23" t="str">
        <f aca="false">IF($B9="","",$M9*(1-설정!$B$7))</f>
        <v/>
      </c>
      <c r="O9" s="23" t="str">
        <f aca="false">IF($B9="","",$N9-($G9*$E9+$H9))</f>
        <v/>
      </c>
      <c r="P9" s="24" t="str">
        <f aca="true">IF($B9="","",IF(AND($I9=설정!$A$11,$A9&lt;&gt;"",TODAY()-$A9&gt;=설정!$B$8),"지연!",""))</f>
        <v/>
      </c>
    </row>
    <row r="10" customFormat="false" ht="15" hidden="false" customHeight="false" outlineLevel="0" collapsed="false">
      <c r="A10" s="19"/>
      <c r="B10" s="20"/>
      <c r="C10" s="5"/>
      <c r="D10" s="5"/>
      <c r="E10" s="21"/>
      <c r="F10" s="22"/>
      <c r="G10" s="22"/>
      <c r="H10" s="22"/>
      <c r="I10" s="15"/>
      <c r="J10" s="19"/>
      <c r="K10" s="20"/>
      <c r="L10" s="20"/>
      <c r="M10" s="23" t="str">
        <f aca="false">IF($B10="","",$F10*$E10)</f>
        <v/>
      </c>
      <c r="N10" s="23" t="str">
        <f aca="false">IF($B10="","",$M10*(1-설정!$B$7))</f>
        <v/>
      </c>
      <c r="O10" s="23" t="str">
        <f aca="false">IF($B10="","",$N10-($G10*$E10+$H10))</f>
        <v/>
      </c>
      <c r="P10" s="24" t="str">
        <f aca="true">IF($B10="","",IF(AND($I10=설정!$A$11,$A10&lt;&gt;"",TODAY()-$A10&gt;=설정!$B$8),"지연!",""))</f>
        <v/>
      </c>
    </row>
    <row r="11" customFormat="false" ht="15" hidden="false" customHeight="false" outlineLevel="0" collapsed="false">
      <c r="A11" s="19"/>
      <c r="B11" s="20"/>
      <c r="C11" s="5"/>
      <c r="D11" s="5"/>
      <c r="E11" s="21"/>
      <c r="F11" s="22"/>
      <c r="G11" s="22"/>
      <c r="H11" s="22"/>
      <c r="I11" s="15"/>
      <c r="J11" s="19"/>
      <c r="K11" s="20"/>
      <c r="L11" s="20"/>
      <c r="M11" s="23" t="str">
        <f aca="false">IF($B11="","",$F11*$E11)</f>
        <v/>
      </c>
      <c r="N11" s="23" t="str">
        <f aca="false">IF($B11="","",$M11*(1-설정!$B$7))</f>
        <v/>
      </c>
      <c r="O11" s="23" t="str">
        <f aca="false">IF($B11="","",$N11-($G11*$E11+$H11))</f>
        <v/>
      </c>
      <c r="P11" s="24" t="str">
        <f aca="true">IF($B11="","",IF(AND($I11=설정!$A$11,$A11&lt;&gt;"",TODAY()-$A11&gt;=설정!$B$8),"지연!",""))</f>
        <v/>
      </c>
    </row>
    <row r="12" customFormat="false" ht="15" hidden="false" customHeight="false" outlineLevel="0" collapsed="false">
      <c r="A12" s="19"/>
      <c r="B12" s="20"/>
      <c r="C12" s="5"/>
      <c r="D12" s="5"/>
      <c r="E12" s="21"/>
      <c r="F12" s="22"/>
      <c r="G12" s="22"/>
      <c r="H12" s="22"/>
      <c r="I12" s="15"/>
      <c r="J12" s="19"/>
      <c r="K12" s="20"/>
      <c r="L12" s="20"/>
      <c r="M12" s="23" t="str">
        <f aca="false">IF($B12="","",$F12*$E12)</f>
        <v/>
      </c>
      <c r="N12" s="23" t="str">
        <f aca="false">IF($B12="","",$M12*(1-설정!$B$7))</f>
        <v/>
      </c>
      <c r="O12" s="23" t="str">
        <f aca="false">IF($B12="","",$N12-($G12*$E12+$H12))</f>
        <v/>
      </c>
      <c r="P12" s="24" t="str">
        <f aca="true">IF($B12="","",IF(AND($I12=설정!$A$11,$A12&lt;&gt;"",TODAY()-$A12&gt;=설정!$B$8),"지연!",""))</f>
        <v/>
      </c>
    </row>
    <row r="13" customFormat="false" ht="15" hidden="false" customHeight="false" outlineLevel="0" collapsed="false">
      <c r="A13" s="19"/>
      <c r="B13" s="20"/>
      <c r="C13" s="5"/>
      <c r="D13" s="5"/>
      <c r="E13" s="21"/>
      <c r="F13" s="22"/>
      <c r="G13" s="22"/>
      <c r="H13" s="22"/>
      <c r="I13" s="15"/>
      <c r="J13" s="19"/>
      <c r="K13" s="20"/>
      <c r="L13" s="20"/>
      <c r="M13" s="23" t="str">
        <f aca="false">IF($B13="","",$F13*$E13)</f>
        <v/>
      </c>
      <c r="N13" s="23" t="str">
        <f aca="false">IF($B13="","",$M13*(1-설정!$B$7))</f>
        <v/>
      </c>
      <c r="O13" s="23" t="str">
        <f aca="false">IF($B13="","",$N13-($G13*$E13+$H13))</f>
        <v/>
      </c>
      <c r="P13" s="24" t="str">
        <f aca="true">IF($B13="","",IF(AND($I13=설정!$A$11,$A13&lt;&gt;"",TODAY()-$A13&gt;=설정!$B$8),"지연!",""))</f>
        <v/>
      </c>
    </row>
    <row r="14" customFormat="false" ht="15" hidden="false" customHeight="false" outlineLevel="0" collapsed="false">
      <c r="A14" s="19"/>
      <c r="B14" s="20"/>
      <c r="C14" s="5"/>
      <c r="D14" s="5"/>
      <c r="E14" s="21"/>
      <c r="F14" s="22"/>
      <c r="G14" s="22"/>
      <c r="H14" s="22"/>
      <c r="I14" s="15"/>
      <c r="J14" s="19"/>
      <c r="K14" s="20"/>
      <c r="L14" s="20"/>
      <c r="M14" s="23" t="str">
        <f aca="false">IF($B14="","",$F14*$E14)</f>
        <v/>
      </c>
      <c r="N14" s="23" t="str">
        <f aca="false">IF($B14="","",$M14*(1-설정!$B$7))</f>
        <v/>
      </c>
      <c r="O14" s="23" t="str">
        <f aca="false">IF($B14="","",$N14-($G14*$E14+$H14))</f>
        <v/>
      </c>
      <c r="P14" s="24" t="str">
        <f aca="true">IF($B14="","",IF(AND($I14=설정!$A$11,$A14&lt;&gt;"",TODAY()-$A14&gt;=설정!$B$8),"지연!",""))</f>
        <v/>
      </c>
    </row>
    <row r="15" customFormat="false" ht="15" hidden="false" customHeight="false" outlineLevel="0" collapsed="false">
      <c r="A15" s="19"/>
      <c r="B15" s="20"/>
      <c r="C15" s="5"/>
      <c r="D15" s="5"/>
      <c r="E15" s="21"/>
      <c r="F15" s="22"/>
      <c r="G15" s="22"/>
      <c r="H15" s="22"/>
      <c r="I15" s="15"/>
      <c r="J15" s="19"/>
      <c r="K15" s="20"/>
      <c r="L15" s="20"/>
      <c r="M15" s="23" t="str">
        <f aca="false">IF($B15="","",$F15*$E15)</f>
        <v/>
      </c>
      <c r="N15" s="23" t="str">
        <f aca="false">IF($B15="","",$M15*(1-설정!$B$7))</f>
        <v/>
      </c>
      <c r="O15" s="23" t="str">
        <f aca="false">IF($B15="","",$N15-($G15*$E15+$H15))</f>
        <v/>
      </c>
      <c r="P15" s="24" t="str">
        <f aca="true">IF($B15="","",IF(AND($I15=설정!$A$11,$A15&lt;&gt;"",TODAY()-$A15&gt;=설정!$B$8),"지연!",""))</f>
        <v/>
      </c>
    </row>
    <row r="16" customFormat="false" ht="15" hidden="false" customHeight="false" outlineLevel="0" collapsed="false">
      <c r="A16" s="19"/>
      <c r="B16" s="20"/>
      <c r="C16" s="5"/>
      <c r="D16" s="5"/>
      <c r="E16" s="21"/>
      <c r="F16" s="22"/>
      <c r="G16" s="22"/>
      <c r="H16" s="22"/>
      <c r="I16" s="15"/>
      <c r="J16" s="19"/>
      <c r="K16" s="20"/>
      <c r="L16" s="20"/>
      <c r="M16" s="23" t="str">
        <f aca="false">IF($B16="","",$F16*$E16)</f>
        <v/>
      </c>
      <c r="N16" s="23" t="str">
        <f aca="false">IF($B16="","",$M16*(1-설정!$B$7))</f>
        <v/>
      </c>
      <c r="O16" s="23" t="str">
        <f aca="false">IF($B16="","",$N16-($G16*$E16+$H16))</f>
        <v/>
      </c>
      <c r="P16" s="24" t="str">
        <f aca="true">IF($B16="","",IF(AND($I16=설정!$A$11,$A16&lt;&gt;"",TODAY()-$A16&gt;=설정!$B$8),"지연!",""))</f>
        <v/>
      </c>
    </row>
    <row r="17" customFormat="false" ht="15" hidden="false" customHeight="false" outlineLevel="0" collapsed="false">
      <c r="A17" s="19"/>
      <c r="B17" s="20"/>
      <c r="C17" s="5"/>
      <c r="D17" s="5"/>
      <c r="E17" s="21"/>
      <c r="F17" s="22"/>
      <c r="G17" s="22"/>
      <c r="H17" s="22"/>
      <c r="I17" s="15"/>
      <c r="J17" s="19"/>
      <c r="K17" s="20"/>
      <c r="L17" s="20"/>
      <c r="M17" s="23" t="str">
        <f aca="false">IF($B17="","",$F17*$E17)</f>
        <v/>
      </c>
      <c r="N17" s="23" t="str">
        <f aca="false">IF($B17="","",$M17*(1-설정!$B$7))</f>
        <v/>
      </c>
      <c r="O17" s="23" t="str">
        <f aca="false">IF($B17="","",$N17-($G17*$E17+$H17))</f>
        <v/>
      </c>
      <c r="P17" s="24" t="str">
        <f aca="true">IF($B17="","",IF(AND($I17=설정!$A$11,$A17&lt;&gt;"",TODAY()-$A17&gt;=설정!$B$8),"지연!",""))</f>
        <v/>
      </c>
    </row>
    <row r="18" customFormat="false" ht="15" hidden="false" customHeight="false" outlineLevel="0" collapsed="false">
      <c r="A18" s="19"/>
      <c r="B18" s="20"/>
      <c r="C18" s="5"/>
      <c r="D18" s="5"/>
      <c r="E18" s="21"/>
      <c r="F18" s="22"/>
      <c r="G18" s="22"/>
      <c r="H18" s="22"/>
      <c r="I18" s="15"/>
      <c r="J18" s="19"/>
      <c r="K18" s="20"/>
      <c r="L18" s="20"/>
      <c r="M18" s="23" t="str">
        <f aca="false">IF($B18="","",$F18*$E18)</f>
        <v/>
      </c>
      <c r="N18" s="23" t="str">
        <f aca="false">IF($B18="","",$M18*(1-설정!$B$7))</f>
        <v/>
      </c>
      <c r="O18" s="23" t="str">
        <f aca="false">IF($B18="","",$N18-($G18*$E18+$H18))</f>
        <v/>
      </c>
      <c r="P18" s="24" t="str">
        <f aca="true">IF($B18="","",IF(AND($I18=설정!$A$11,$A18&lt;&gt;"",TODAY()-$A18&gt;=설정!$B$8),"지연!",""))</f>
        <v/>
      </c>
    </row>
    <row r="19" customFormat="false" ht="15" hidden="false" customHeight="false" outlineLevel="0" collapsed="false">
      <c r="A19" s="19"/>
      <c r="B19" s="20"/>
      <c r="C19" s="5"/>
      <c r="D19" s="5"/>
      <c r="E19" s="21"/>
      <c r="F19" s="22"/>
      <c r="G19" s="22"/>
      <c r="H19" s="22"/>
      <c r="I19" s="15"/>
      <c r="J19" s="19"/>
      <c r="K19" s="20"/>
      <c r="L19" s="20"/>
      <c r="M19" s="23" t="str">
        <f aca="false">IF($B19="","",$F19*$E19)</f>
        <v/>
      </c>
      <c r="N19" s="23" t="str">
        <f aca="false">IF($B19="","",$M19*(1-설정!$B$7))</f>
        <v/>
      </c>
      <c r="O19" s="23" t="str">
        <f aca="false">IF($B19="","",$N19-($G19*$E19+$H19))</f>
        <v/>
      </c>
      <c r="P19" s="24" t="str">
        <f aca="true">IF($B19="","",IF(AND($I19=설정!$A$11,$A19&lt;&gt;"",TODAY()-$A19&gt;=설정!$B$8),"지연!",""))</f>
        <v/>
      </c>
    </row>
    <row r="20" customFormat="false" ht="15" hidden="false" customHeight="false" outlineLevel="0" collapsed="false">
      <c r="A20" s="19"/>
      <c r="B20" s="20"/>
      <c r="C20" s="5"/>
      <c r="D20" s="5"/>
      <c r="E20" s="21"/>
      <c r="F20" s="22"/>
      <c r="G20" s="22"/>
      <c r="H20" s="22"/>
      <c r="I20" s="15"/>
      <c r="J20" s="19"/>
      <c r="K20" s="20"/>
      <c r="L20" s="20"/>
      <c r="M20" s="23" t="str">
        <f aca="false">IF($B20="","",$F20*$E20)</f>
        <v/>
      </c>
      <c r="N20" s="23" t="str">
        <f aca="false">IF($B20="","",$M20*(1-설정!$B$7))</f>
        <v/>
      </c>
      <c r="O20" s="23" t="str">
        <f aca="false">IF($B20="","",$N20-($G20*$E20+$H20))</f>
        <v/>
      </c>
      <c r="P20" s="24" t="str">
        <f aca="true">IF($B20="","",IF(AND($I20=설정!$A$11,$A20&lt;&gt;"",TODAY()-$A20&gt;=설정!$B$8),"지연!",""))</f>
        <v/>
      </c>
    </row>
    <row r="21" customFormat="false" ht="15" hidden="false" customHeight="false" outlineLevel="0" collapsed="false">
      <c r="A21" s="19"/>
      <c r="B21" s="20"/>
      <c r="C21" s="5"/>
      <c r="D21" s="5"/>
      <c r="E21" s="21"/>
      <c r="F21" s="22"/>
      <c r="G21" s="22"/>
      <c r="H21" s="22"/>
      <c r="I21" s="15"/>
      <c r="J21" s="19"/>
      <c r="K21" s="20"/>
      <c r="L21" s="20"/>
      <c r="M21" s="23" t="str">
        <f aca="false">IF($B21="","",$F21*$E21)</f>
        <v/>
      </c>
      <c r="N21" s="23" t="str">
        <f aca="false">IF($B21="","",$M21*(1-설정!$B$7))</f>
        <v/>
      </c>
      <c r="O21" s="23" t="str">
        <f aca="false">IF($B21="","",$N21-($G21*$E21+$H21))</f>
        <v/>
      </c>
      <c r="P21" s="24" t="str">
        <f aca="true">IF($B21="","",IF(AND($I21=설정!$A$11,$A21&lt;&gt;"",TODAY()-$A21&gt;=설정!$B$8),"지연!",""))</f>
        <v/>
      </c>
    </row>
    <row r="22" customFormat="false" ht="15" hidden="false" customHeight="false" outlineLevel="0" collapsed="false">
      <c r="A22" s="19"/>
      <c r="B22" s="20"/>
      <c r="C22" s="5"/>
      <c r="D22" s="5"/>
      <c r="E22" s="21"/>
      <c r="F22" s="22"/>
      <c r="G22" s="22"/>
      <c r="H22" s="22"/>
      <c r="I22" s="15"/>
      <c r="J22" s="19"/>
      <c r="K22" s="20"/>
      <c r="L22" s="20"/>
      <c r="M22" s="23" t="str">
        <f aca="false">IF($B22="","",$F22*$E22)</f>
        <v/>
      </c>
      <c r="N22" s="23" t="str">
        <f aca="false">IF($B22="","",$M22*(1-설정!$B$7))</f>
        <v/>
      </c>
      <c r="O22" s="23" t="str">
        <f aca="false">IF($B22="","",$N22-($G22*$E22+$H22))</f>
        <v/>
      </c>
      <c r="P22" s="24" t="str">
        <f aca="true">IF($B22="","",IF(AND($I22=설정!$A$11,$A22&lt;&gt;"",TODAY()-$A22&gt;=설정!$B$8),"지연!",""))</f>
        <v/>
      </c>
    </row>
    <row r="23" customFormat="false" ht="15" hidden="false" customHeight="false" outlineLevel="0" collapsed="false">
      <c r="A23" s="19"/>
      <c r="B23" s="20"/>
      <c r="C23" s="5"/>
      <c r="D23" s="5"/>
      <c r="E23" s="21"/>
      <c r="F23" s="22"/>
      <c r="G23" s="22"/>
      <c r="H23" s="22"/>
      <c r="I23" s="15"/>
      <c r="J23" s="19"/>
      <c r="K23" s="20"/>
      <c r="L23" s="20"/>
      <c r="M23" s="23" t="str">
        <f aca="false">IF($B23="","",$F23*$E23)</f>
        <v/>
      </c>
      <c r="N23" s="23" t="str">
        <f aca="false">IF($B23="","",$M23*(1-설정!$B$7))</f>
        <v/>
      </c>
      <c r="O23" s="23" t="str">
        <f aca="false">IF($B23="","",$N23-($G23*$E23+$H23))</f>
        <v/>
      </c>
      <c r="P23" s="24" t="str">
        <f aca="true">IF($B23="","",IF(AND($I23=설정!$A$11,$A23&lt;&gt;"",TODAY()-$A23&gt;=설정!$B$8),"지연!",""))</f>
        <v/>
      </c>
    </row>
    <row r="24" customFormat="false" ht="15" hidden="false" customHeight="false" outlineLevel="0" collapsed="false">
      <c r="A24" s="19"/>
      <c r="B24" s="20"/>
      <c r="C24" s="5"/>
      <c r="D24" s="5"/>
      <c r="E24" s="21"/>
      <c r="F24" s="22"/>
      <c r="G24" s="22"/>
      <c r="H24" s="22"/>
      <c r="I24" s="15"/>
      <c r="J24" s="19"/>
      <c r="K24" s="20"/>
      <c r="L24" s="20"/>
      <c r="M24" s="23" t="str">
        <f aca="false">IF($B24="","",$F24*$E24)</f>
        <v/>
      </c>
      <c r="N24" s="23" t="str">
        <f aca="false">IF($B24="","",$M24*(1-설정!$B$7))</f>
        <v/>
      </c>
      <c r="O24" s="23" t="str">
        <f aca="false">IF($B24="","",$N24-($G24*$E24+$H24))</f>
        <v/>
      </c>
      <c r="P24" s="24" t="str">
        <f aca="true">IF($B24="","",IF(AND($I24=설정!$A$11,$A24&lt;&gt;"",TODAY()-$A24&gt;=설정!$B$8),"지연!",""))</f>
        <v/>
      </c>
    </row>
    <row r="25" customFormat="false" ht="15" hidden="false" customHeight="false" outlineLevel="0" collapsed="false">
      <c r="A25" s="19"/>
      <c r="B25" s="20"/>
      <c r="C25" s="5"/>
      <c r="D25" s="5"/>
      <c r="E25" s="21"/>
      <c r="F25" s="22"/>
      <c r="G25" s="22"/>
      <c r="H25" s="22"/>
      <c r="I25" s="15"/>
      <c r="J25" s="19"/>
      <c r="K25" s="20"/>
      <c r="L25" s="20"/>
      <c r="M25" s="23" t="str">
        <f aca="false">IF($B25="","",$F25*$E25)</f>
        <v/>
      </c>
      <c r="N25" s="23" t="str">
        <f aca="false">IF($B25="","",$M25*(1-설정!$B$7))</f>
        <v/>
      </c>
      <c r="O25" s="23" t="str">
        <f aca="false">IF($B25="","",$N25-($G25*$E25+$H25))</f>
        <v/>
      </c>
      <c r="P25" s="24" t="str">
        <f aca="true">IF($B25="","",IF(AND($I25=설정!$A$11,$A25&lt;&gt;"",TODAY()-$A25&gt;=설정!$B$8),"지연!",""))</f>
        <v/>
      </c>
    </row>
    <row r="26" customFormat="false" ht="15" hidden="false" customHeight="false" outlineLevel="0" collapsed="false">
      <c r="A26" s="19"/>
      <c r="B26" s="20"/>
      <c r="C26" s="5"/>
      <c r="D26" s="5"/>
      <c r="E26" s="21"/>
      <c r="F26" s="22"/>
      <c r="G26" s="22"/>
      <c r="H26" s="22"/>
      <c r="I26" s="15"/>
      <c r="J26" s="19"/>
      <c r="K26" s="20"/>
      <c r="L26" s="20"/>
      <c r="M26" s="23" t="str">
        <f aca="false">IF($B26="","",$F26*$E26)</f>
        <v/>
      </c>
      <c r="N26" s="23" t="str">
        <f aca="false">IF($B26="","",$M26*(1-설정!$B$7))</f>
        <v/>
      </c>
      <c r="O26" s="23" t="str">
        <f aca="false">IF($B26="","",$N26-($G26*$E26+$H26))</f>
        <v/>
      </c>
      <c r="P26" s="24" t="str">
        <f aca="true">IF($B26="","",IF(AND($I26=설정!$A$11,$A26&lt;&gt;"",TODAY()-$A26&gt;=설정!$B$8),"지연!",""))</f>
        <v/>
      </c>
    </row>
    <row r="27" customFormat="false" ht="15" hidden="false" customHeight="false" outlineLevel="0" collapsed="false">
      <c r="A27" s="19"/>
      <c r="B27" s="20"/>
      <c r="C27" s="5"/>
      <c r="D27" s="5"/>
      <c r="E27" s="21"/>
      <c r="F27" s="22"/>
      <c r="G27" s="22"/>
      <c r="H27" s="22"/>
      <c r="I27" s="15"/>
      <c r="J27" s="19"/>
      <c r="K27" s="20"/>
      <c r="L27" s="20"/>
      <c r="M27" s="23" t="str">
        <f aca="false">IF($B27="","",$F27*$E27)</f>
        <v/>
      </c>
      <c r="N27" s="23" t="str">
        <f aca="false">IF($B27="","",$M27*(1-설정!$B$7))</f>
        <v/>
      </c>
      <c r="O27" s="23" t="str">
        <f aca="false">IF($B27="","",$N27-($G27*$E27+$H27))</f>
        <v/>
      </c>
      <c r="P27" s="24" t="str">
        <f aca="true">IF($B27="","",IF(AND($I27=설정!$A$11,$A27&lt;&gt;"",TODAY()-$A27&gt;=설정!$B$8),"지연!",""))</f>
        <v/>
      </c>
    </row>
    <row r="28" customFormat="false" ht="15" hidden="false" customHeight="false" outlineLevel="0" collapsed="false">
      <c r="A28" s="19"/>
      <c r="B28" s="20"/>
      <c r="C28" s="5"/>
      <c r="D28" s="5"/>
      <c r="E28" s="21"/>
      <c r="F28" s="22"/>
      <c r="G28" s="22"/>
      <c r="H28" s="22"/>
      <c r="I28" s="15"/>
      <c r="J28" s="19"/>
      <c r="K28" s="20"/>
      <c r="L28" s="20"/>
      <c r="M28" s="23" t="str">
        <f aca="false">IF($B28="","",$F28*$E28)</f>
        <v/>
      </c>
      <c r="N28" s="23" t="str">
        <f aca="false">IF($B28="","",$M28*(1-설정!$B$7))</f>
        <v/>
      </c>
      <c r="O28" s="23" t="str">
        <f aca="false">IF($B28="","",$N28-($G28*$E28+$H28))</f>
        <v/>
      </c>
      <c r="P28" s="24" t="str">
        <f aca="true">IF($B28="","",IF(AND($I28=설정!$A$11,$A28&lt;&gt;"",TODAY()-$A28&gt;=설정!$B$8),"지연!",""))</f>
        <v/>
      </c>
    </row>
    <row r="29" customFormat="false" ht="15" hidden="false" customHeight="false" outlineLevel="0" collapsed="false">
      <c r="A29" s="19"/>
      <c r="B29" s="20"/>
      <c r="C29" s="5"/>
      <c r="D29" s="5"/>
      <c r="E29" s="21"/>
      <c r="F29" s="22"/>
      <c r="G29" s="22"/>
      <c r="H29" s="22"/>
      <c r="I29" s="15"/>
      <c r="J29" s="19"/>
      <c r="K29" s="20"/>
      <c r="L29" s="20"/>
      <c r="M29" s="23" t="str">
        <f aca="false">IF($B29="","",$F29*$E29)</f>
        <v/>
      </c>
      <c r="N29" s="23" t="str">
        <f aca="false">IF($B29="","",$M29*(1-설정!$B$7))</f>
        <v/>
      </c>
      <c r="O29" s="23" t="str">
        <f aca="false">IF($B29="","",$N29-($G29*$E29+$H29))</f>
        <v/>
      </c>
      <c r="P29" s="24" t="str">
        <f aca="true">IF($B29="","",IF(AND($I29=설정!$A$11,$A29&lt;&gt;"",TODAY()-$A29&gt;=설정!$B$8),"지연!",""))</f>
        <v/>
      </c>
    </row>
    <row r="30" customFormat="false" ht="15" hidden="false" customHeight="false" outlineLevel="0" collapsed="false">
      <c r="A30" s="19"/>
      <c r="B30" s="20"/>
      <c r="C30" s="5"/>
      <c r="D30" s="5"/>
      <c r="E30" s="21"/>
      <c r="F30" s="22"/>
      <c r="G30" s="22"/>
      <c r="H30" s="22"/>
      <c r="I30" s="15"/>
      <c r="J30" s="19"/>
      <c r="K30" s="20"/>
      <c r="L30" s="20"/>
      <c r="M30" s="23" t="str">
        <f aca="false">IF($B30="","",$F30*$E30)</f>
        <v/>
      </c>
      <c r="N30" s="23" t="str">
        <f aca="false">IF($B30="","",$M30*(1-설정!$B$7))</f>
        <v/>
      </c>
      <c r="O30" s="23" t="str">
        <f aca="false">IF($B30="","",$N30-($G30*$E30+$H30))</f>
        <v/>
      </c>
      <c r="P30" s="24" t="str">
        <f aca="true">IF($B30="","",IF(AND($I30=설정!$A$11,$A30&lt;&gt;"",TODAY()-$A30&gt;=설정!$B$8),"지연!",""))</f>
        <v/>
      </c>
    </row>
    <row r="31" customFormat="false" ht="15" hidden="false" customHeight="false" outlineLevel="0" collapsed="false">
      <c r="A31" s="19"/>
      <c r="B31" s="20"/>
      <c r="C31" s="5"/>
      <c r="D31" s="5"/>
      <c r="E31" s="21"/>
      <c r="F31" s="22"/>
      <c r="G31" s="22"/>
      <c r="H31" s="22"/>
      <c r="I31" s="15"/>
      <c r="J31" s="19"/>
      <c r="K31" s="20"/>
      <c r="L31" s="20"/>
      <c r="M31" s="23" t="str">
        <f aca="false">IF($B31="","",$F31*$E31)</f>
        <v/>
      </c>
      <c r="N31" s="23" t="str">
        <f aca="false">IF($B31="","",$M31*(1-설정!$B$7))</f>
        <v/>
      </c>
      <c r="O31" s="23" t="str">
        <f aca="false">IF($B31="","",$N31-($G31*$E31+$H31))</f>
        <v/>
      </c>
      <c r="P31" s="24" t="str">
        <f aca="true">IF($B31="","",IF(AND($I31=설정!$A$11,$A31&lt;&gt;"",TODAY()-$A31&gt;=설정!$B$8),"지연!",""))</f>
        <v/>
      </c>
    </row>
    <row r="32" customFormat="false" ht="15" hidden="false" customHeight="false" outlineLevel="0" collapsed="false">
      <c r="A32" s="19"/>
      <c r="B32" s="20"/>
      <c r="C32" s="5"/>
      <c r="D32" s="5"/>
      <c r="E32" s="21"/>
      <c r="F32" s="22"/>
      <c r="G32" s="22"/>
      <c r="H32" s="22"/>
      <c r="I32" s="15"/>
      <c r="J32" s="19"/>
      <c r="K32" s="20"/>
      <c r="L32" s="20"/>
      <c r="M32" s="23" t="str">
        <f aca="false">IF($B32="","",$F32*$E32)</f>
        <v/>
      </c>
      <c r="N32" s="23" t="str">
        <f aca="false">IF($B32="","",$M32*(1-설정!$B$7))</f>
        <v/>
      </c>
      <c r="O32" s="23" t="str">
        <f aca="false">IF($B32="","",$N32-($G32*$E32+$H32))</f>
        <v/>
      </c>
      <c r="P32" s="24" t="str">
        <f aca="true">IF($B32="","",IF(AND($I32=설정!$A$11,$A32&lt;&gt;"",TODAY()-$A32&gt;=설정!$B$8),"지연!",""))</f>
        <v/>
      </c>
    </row>
    <row r="33" customFormat="false" ht="15" hidden="false" customHeight="false" outlineLevel="0" collapsed="false">
      <c r="A33" s="19"/>
      <c r="B33" s="20"/>
      <c r="C33" s="5"/>
      <c r="D33" s="5"/>
      <c r="E33" s="21"/>
      <c r="F33" s="22"/>
      <c r="G33" s="22"/>
      <c r="H33" s="22"/>
      <c r="I33" s="15"/>
      <c r="J33" s="19"/>
      <c r="K33" s="20"/>
      <c r="L33" s="20"/>
      <c r="M33" s="23" t="str">
        <f aca="false">IF($B33="","",$F33*$E33)</f>
        <v/>
      </c>
      <c r="N33" s="23" t="str">
        <f aca="false">IF($B33="","",$M33*(1-설정!$B$7))</f>
        <v/>
      </c>
      <c r="O33" s="23" t="str">
        <f aca="false">IF($B33="","",$N33-($G33*$E33+$H33))</f>
        <v/>
      </c>
      <c r="P33" s="24" t="str">
        <f aca="true">IF($B33="","",IF(AND($I33=설정!$A$11,$A33&lt;&gt;"",TODAY()-$A33&gt;=설정!$B$8),"지연!",""))</f>
        <v/>
      </c>
    </row>
    <row r="34" customFormat="false" ht="15" hidden="false" customHeight="false" outlineLevel="0" collapsed="false">
      <c r="A34" s="19"/>
      <c r="B34" s="20"/>
      <c r="C34" s="5"/>
      <c r="D34" s="5"/>
      <c r="E34" s="21"/>
      <c r="F34" s="22"/>
      <c r="G34" s="22"/>
      <c r="H34" s="22"/>
      <c r="I34" s="15"/>
      <c r="J34" s="19"/>
      <c r="K34" s="20"/>
      <c r="L34" s="20"/>
      <c r="M34" s="23" t="str">
        <f aca="false">IF($B34="","",$F34*$E34)</f>
        <v/>
      </c>
      <c r="N34" s="23" t="str">
        <f aca="false">IF($B34="","",$M34*(1-설정!$B$7))</f>
        <v/>
      </c>
      <c r="O34" s="23" t="str">
        <f aca="false">IF($B34="","",$N34-($G34*$E34+$H34))</f>
        <v/>
      </c>
      <c r="P34" s="24" t="str">
        <f aca="true">IF($B34="","",IF(AND($I34=설정!$A$11,$A34&lt;&gt;"",TODAY()-$A34&gt;=설정!$B$8),"지연!",""))</f>
        <v/>
      </c>
    </row>
    <row r="35" customFormat="false" ht="15" hidden="false" customHeight="false" outlineLevel="0" collapsed="false">
      <c r="A35" s="19"/>
      <c r="B35" s="20"/>
      <c r="C35" s="5"/>
      <c r="D35" s="5"/>
      <c r="E35" s="21"/>
      <c r="F35" s="22"/>
      <c r="G35" s="22"/>
      <c r="H35" s="22"/>
      <c r="I35" s="15"/>
      <c r="J35" s="19"/>
      <c r="K35" s="20"/>
      <c r="L35" s="20"/>
      <c r="M35" s="23" t="str">
        <f aca="false">IF($B35="","",$F35*$E35)</f>
        <v/>
      </c>
      <c r="N35" s="23" t="str">
        <f aca="false">IF($B35="","",$M35*(1-설정!$B$7))</f>
        <v/>
      </c>
      <c r="O35" s="23" t="str">
        <f aca="false">IF($B35="","",$N35-($G35*$E35+$H35))</f>
        <v/>
      </c>
      <c r="P35" s="24" t="str">
        <f aca="true">IF($B35="","",IF(AND($I35=설정!$A$11,$A35&lt;&gt;"",TODAY()-$A35&gt;=설정!$B$8),"지연!",""))</f>
        <v/>
      </c>
    </row>
    <row r="36" customFormat="false" ht="15" hidden="false" customHeight="false" outlineLevel="0" collapsed="false">
      <c r="A36" s="19"/>
      <c r="B36" s="20"/>
      <c r="C36" s="5"/>
      <c r="D36" s="5"/>
      <c r="E36" s="21"/>
      <c r="F36" s="22"/>
      <c r="G36" s="22"/>
      <c r="H36" s="22"/>
      <c r="I36" s="15"/>
      <c r="J36" s="19"/>
      <c r="K36" s="20"/>
      <c r="L36" s="20"/>
      <c r="M36" s="23" t="str">
        <f aca="false">IF($B36="","",$F36*$E36)</f>
        <v/>
      </c>
      <c r="N36" s="23" t="str">
        <f aca="false">IF($B36="","",$M36*(1-설정!$B$7))</f>
        <v/>
      </c>
      <c r="O36" s="23" t="str">
        <f aca="false">IF($B36="","",$N36-($G36*$E36+$H36))</f>
        <v/>
      </c>
      <c r="P36" s="24" t="str">
        <f aca="true">IF($B36="","",IF(AND($I36=설정!$A$11,$A36&lt;&gt;"",TODAY()-$A36&gt;=설정!$B$8),"지연!",""))</f>
        <v/>
      </c>
    </row>
    <row r="37" customFormat="false" ht="15" hidden="false" customHeight="false" outlineLevel="0" collapsed="false">
      <c r="A37" s="19"/>
      <c r="B37" s="20"/>
      <c r="C37" s="5"/>
      <c r="D37" s="5"/>
      <c r="E37" s="21"/>
      <c r="F37" s="22"/>
      <c r="G37" s="22"/>
      <c r="H37" s="22"/>
      <c r="I37" s="15"/>
      <c r="J37" s="19"/>
      <c r="K37" s="20"/>
      <c r="L37" s="20"/>
      <c r="M37" s="23" t="str">
        <f aca="false">IF($B37="","",$F37*$E37)</f>
        <v/>
      </c>
      <c r="N37" s="23" t="str">
        <f aca="false">IF($B37="","",$M37*(1-설정!$B$7))</f>
        <v/>
      </c>
      <c r="O37" s="23" t="str">
        <f aca="false">IF($B37="","",$N37-($G37*$E37+$H37))</f>
        <v/>
      </c>
      <c r="P37" s="24" t="str">
        <f aca="true">IF($B37="","",IF(AND($I37=설정!$A$11,$A37&lt;&gt;"",TODAY()-$A37&gt;=설정!$B$8),"지연!",""))</f>
        <v/>
      </c>
    </row>
    <row r="38" customFormat="false" ht="15" hidden="false" customHeight="false" outlineLevel="0" collapsed="false">
      <c r="A38" s="19"/>
      <c r="B38" s="20"/>
      <c r="C38" s="5"/>
      <c r="D38" s="5"/>
      <c r="E38" s="21"/>
      <c r="F38" s="22"/>
      <c r="G38" s="22"/>
      <c r="H38" s="22"/>
      <c r="I38" s="15"/>
      <c r="J38" s="19"/>
      <c r="K38" s="20"/>
      <c r="L38" s="20"/>
      <c r="M38" s="23" t="str">
        <f aca="false">IF($B38="","",$F38*$E38)</f>
        <v/>
      </c>
      <c r="N38" s="23" t="str">
        <f aca="false">IF($B38="","",$M38*(1-설정!$B$7))</f>
        <v/>
      </c>
      <c r="O38" s="23" t="str">
        <f aca="false">IF($B38="","",$N38-($G38*$E38+$H38))</f>
        <v/>
      </c>
      <c r="P38" s="24" t="str">
        <f aca="true">IF($B38="","",IF(AND($I38=설정!$A$11,$A38&lt;&gt;"",TODAY()-$A38&gt;=설정!$B$8),"지연!",""))</f>
        <v/>
      </c>
    </row>
    <row r="39" customFormat="false" ht="15" hidden="false" customHeight="false" outlineLevel="0" collapsed="false">
      <c r="A39" s="19"/>
      <c r="B39" s="20"/>
      <c r="C39" s="5"/>
      <c r="D39" s="5"/>
      <c r="E39" s="21"/>
      <c r="F39" s="22"/>
      <c r="G39" s="22"/>
      <c r="H39" s="22"/>
      <c r="I39" s="15"/>
      <c r="J39" s="19"/>
      <c r="K39" s="20"/>
      <c r="L39" s="20"/>
      <c r="M39" s="23" t="str">
        <f aca="false">IF($B39="","",$F39*$E39)</f>
        <v/>
      </c>
      <c r="N39" s="23" t="str">
        <f aca="false">IF($B39="","",$M39*(1-설정!$B$7))</f>
        <v/>
      </c>
      <c r="O39" s="23" t="str">
        <f aca="false">IF($B39="","",$N39-($G39*$E39+$H39))</f>
        <v/>
      </c>
      <c r="P39" s="24" t="str">
        <f aca="true">IF($B39="","",IF(AND($I39=설정!$A$11,$A39&lt;&gt;"",TODAY()-$A39&gt;=설정!$B$8),"지연!",""))</f>
        <v/>
      </c>
    </row>
    <row r="40" customFormat="false" ht="15" hidden="false" customHeight="false" outlineLevel="0" collapsed="false">
      <c r="A40" s="19"/>
      <c r="B40" s="20"/>
      <c r="C40" s="5"/>
      <c r="D40" s="5"/>
      <c r="E40" s="21"/>
      <c r="F40" s="22"/>
      <c r="G40" s="22"/>
      <c r="H40" s="22"/>
      <c r="I40" s="15"/>
      <c r="J40" s="19"/>
      <c r="K40" s="20"/>
      <c r="L40" s="20"/>
      <c r="M40" s="23" t="str">
        <f aca="false">IF($B40="","",$F40*$E40)</f>
        <v/>
      </c>
      <c r="N40" s="23" t="str">
        <f aca="false">IF($B40="","",$M40*(1-설정!$B$7))</f>
        <v/>
      </c>
      <c r="O40" s="23" t="str">
        <f aca="false">IF($B40="","",$N40-($G40*$E40+$H40))</f>
        <v/>
      </c>
      <c r="P40" s="24" t="str">
        <f aca="true">IF($B40="","",IF(AND($I40=설정!$A$11,$A40&lt;&gt;"",TODAY()-$A40&gt;=설정!$B$8),"지연!",""))</f>
        <v/>
      </c>
    </row>
    <row r="41" customFormat="false" ht="15" hidden="false" customHeight="false" outlineLevel="0" collapsed="false">
      <c r="A41" s="19"/>
      <c r="B41" s="20"/>
      <c r="C41" s="5"/>
      <c r="D41" s="5"/>
      <c r="E41" s="21"/>
      <c r="F41" s="22"/>
      <c r="G41" s="22"/>
      <c r="H41" s="22"/>
      <c r="I41" s="15"/>
      <c r="J41" s="19"/>
      <c r="K41" s="20"/>
      <c r="L41" s="20"/>
      <c r="M41" s="23" t="str">
        <f aca="false">IF($B41="","",$F41*$E41)</f>
        <v/>
      </c>
      <c r="N41" s="23" t="str">
        <f aca="false">IF($B41="","",$M41*(1-설정!$B$7))</f>
        <v/>
      </c>
      <c r="O41" s="23" t="str">
        <f aca="false">IF($B41="","",$N41-($G41*$E41+$H41))</f>
        <v/>
      </c>
      <c r="P41" s="24" t="str">
        <f aca="true">IF($B41="","",IF(AND($I41=설정!$A$11,$A41&lt;&gt;"",TODAY()-$A41&gt;=설정!$B$8),"지연!",""))</f>
        <v/>
      </c>
    </row>
    <row r="42" customFormat="false" ht="15" hidden="false" customHeight="false" outlineLevel="0" collapsed="false">
      <c r="A42" s="19"/>
      <c r="B42" s="20"/>
      <c r="C42" s="5"/>
      <c r="D42" s="5"/>
      <c r="E42" s="21"/>
      <c r="F42" s="22"/>
      <c r="G42" s="22"/>
      <c r="H42" s="22"/>
      <c r="I42" s="15"/>
      <c r="J42" s="19"/>
      <c r="K42" s="20"/>
      <c r="L42" s="20"/>
      <c r="M42" s="23" t="str">
        <f aca="false">IF($B42="","",$F42*$E42)</f>
        <v/>
      </c>
      <c r="N42" s="23" t="str">
        <f aca="false">IF($B42="","",$M42*(1-설정!$B$7))</f>
        <v/>
      </c>
      <c r="O42" s="23" t="str">
        <f aca="false">IF($B42="","",$N42-($G42*$E42+$H42))</f>
        <v/>
      </c>
      <c r="P42" s="24" t="str">
        <f aca="true">IF($B42="","",IF(AND($I42=설정!$A$11,$A42&lt;&gt;"",TODAY()-$A42&gt;=설정!$B$8),"지연!",""))</f>
        <v/>
      </c>
    </row>
    <row r="43" customFormat="false" ht="15" hidden="false" customHeight="false" outlineLevel="0" collapsed="false">
      <c r="A43" s="19"/>
      <c r="B43" s="20"/>
      <c r="C43" s="5"/>
      <c r="D43" s="5"/>
      <c r="E43" s="21"/>
      <c r="F43" s="22"/>
      <c r="G43" s="22"/>
      <c r="H43" s="22"/>
      <c r="I43" s="15"/>
      <c r="J43" s="19"/>
      <c r="K43" s="20"/>
      <c r="L43" s="20"/>
      <c r="M43" s="23" t="str">
        <f aca="false">IF($B43="","",$F43*$E43)</f>
        <v/>
      </c>
      <c r="N43" s="23" t="str">
        <f aca="false">IF($B43="","",$M43*(1-설정!$B$7))</f>
        <v/>
      </c>
      <c r="O43" s="23" t="str">
        <f aca="false">IF($B43="","",$N43-($G43*$E43+$H43))</f>
        <v/>
      </c>
      <c r="P43" s="24" t="str">
        <f aca="true">IF($B43="","",IF(AND($I43=설정!$A$11,$A43&lt;&gt;"",TODAY()-$A43&gt;=설정!$B$8),"지연!",""))</f>
        <v/>
      </c>
    </row>
    <row r="44" customFormat="false" ht="15" hidden="false" customHeight="false" outlineLevel="0" collapsed="false">
      <c r="A44" s="19"/>
      <c r="B44" s="20"/>
      <c r="C44" s="5"/>
      <c r="D44" s="5"/>
      <c r="E44" s="21"/>
      <c r="F44" s="22"/>
      <c r="G44" s="22"/>
      <c r="H44" s="22"/>
      <c r="I44" s="15"/>
      <c r="J44" s="19"/>
      <c r="K44" s="20"/>
      <c r="L44" s="20"/>
      <c r="M44" s="23" t="str">
        <f aca="false">IF($B44="","",$F44*$E44)</f>
        <v/>
      </c>
      <c r="N44" s="23" t="str">
        <f aca="false">IF($B44="","",$M44*(1-설정!$B$7))</f>
        <v/>
      </c>
      <c r="O44" s="23" t="str">
        <f aca="false">IF($B44="","",$N44-($G44*$E44+$H44))</f>
        <v/>
      </c>
      <c r="P44" s="24" t="str">
        <f aca="true">IF($B44="","",IF(AND($I44=설정!$A$11,$A44&lt;&gt;"",TODAY()-$A44&gt;=설정!$B$8),"지연!",""))</f>
        <v/>
      </c>
    </row>
    <row r="45" customFormat="false" ht="15" hidden="false" customHeight="false" outlineLevel="0" collapsed="false">
      <c r="A45" s="19"/>
      <c r="B45" s="20"/>
      <c r="C45" s="5"/>
      <c r="D45" s="5"/>
      <c r="E45" s="21"/>
      <c r="F45" s="22"/>
      <c r="G45" s="22"/>
      <c r="H45" s="22"/>
      <c r="I45" s="15"/>
      <c r="J45" s="19"/>
      <c r="K45" s="20"/>
      <c r="L45" s="20"/>
      <c r="M45" s="23" t="str">
        <f aca="false">IF($B45="","",$F45*$E45)</f>
        <v/>
      </c>
      <c r="N45" s="23" t="str">
        <f aca="false">IF($B45="","",$M45*(1-설정!$B$7))</f>
        <v/>
      </c>
      <c r="O45" s="23" t="str">
        <f aca="false">IF($B45="","",$N45-($G45*$E45+$H45))</f>
        <v/>
      </c>
      <c r="P45" s="24" t="str">
        <f aca="true">IF($B45="","",IF(AND($I45=설정!$A$11,$A45&lt;&gt;"",TODAY()-$A45&gt;=설정!$B$8),"지연!",""))</f>
        <v/>
      </c>
    </row>
    <row r="46" customFormat="false" ht="15" hidden="false" customHeight="false" outlineLevel="0" collapsed="false">
      <c r="A46" s="19"/>
      <c r="B46" s="20"/>
      <c r="C46" s="5"/>
      <c r="D46" s="5"/>
      <c r="E46" s="21"/>
      <c r="F46" s="22"/>
      <c r="G46" s="22"/>
      <c r="H46" s="22"/>
      <c r="I46" s="15"/>
      <c r="J46" s="19"/>
      <c r="K46" s="20"/>
      <c r="L46" s="20"/>
      <c r="M46" s="23" t="str">
        <f aca="false">IF($B46="","",$F46*$E46)</f>
        <v/>
      </c>
      <c r="N46" s="23" t="str">
        <f aca="false">IF($B46="","",$M46*(1-설정!$B$7))</f>
        <v/>
      </c>
      <c r="O46" s="23" t="str">
        <f aca="false">IF($B46="","",$N46-($G46*$E46+$H46))</f>
        <v/>
      </c>
      <c r="P46" s="24" t="str">
        <f aca="true">IF($B46="","",IF(AND($I46=설정!$A$11,$A46&lt;&gt;"",TODAY()-$A46&gt;=설정!$B$8),"지연!",""))</f>
        <v/>
      </c>
    </row>
    <row r="47" customFormat="false" ht="15" hidden="false" customHeight="false" outlineLevel="0" collapsed="false">
      <c r="A47" s="19"/>
      <c r="B47" s="20"/>
      <c r="C47" s="5"/>
      <c r="D47" s="5"/>
      <c r="E47" s="21"/>
      <c r="F47" s="22"/>
      <c r="G47" s="22"/>
      <c r="H47" s="22"/>
      <c r="I47" s="15"/>
      <c r="J47" s="19"/>
      <c r="K47" s="20"/>
      <c r="L47" s="20"/>
      <c r="M47" s="23" t="str">
        <f aca="false">IF($B47="","",$F47*$E47)</f>
        <v/>
      </c>
      <c r="N47" s="23" t="str">
        <f aca="false">IF($B47="","",$M47*(1-설정!$B$7))</f>
        <v/>
      </c>
      <c r="O47" s="23" t="str">
        <f aca="false">IF($B47="","",$N47-($G47*$E47+$H47))</f>
        <v/>
      </c>
      <c r="P47" s="24" t="str">
        <f aca="true">IF($B47="","",IF(AND($I47=설정!$A$11,$A47&lt;&gt;"",TODAY()-$A47&gt;=설정!$B$8),"지연!",""))</f>
        <v/>
      </c>
    </row>
    <row r="48" customFormat="false" ht="15" hidden="false" customHeight="false" outlineLevel="0" collapsed="false">
      <c r="A48" s="19"/>
      <c r="B48" s="20"/>
      <c r="C48" s="5"/>
      <c r="D48" s="5"/>
      <c r="E48" s="21"/>
      <c r="F48" s="22"/>
      <c r="G48" s="22"/>
      <c r="H48" s="22"/>
      <c r="I48" s="15"/>
      <c r="J48" s="19"/>
      <c r="K48" s="20"/>
      <c r="L48" s="20"/>
      <c r="M48" s="23" t="str">
        <f aca="false">IF($B48="","",$F48*$E48)</f>
        <v/>
      </c>
      <c r="N48" s="23" t="str">
        <f aca="false">IF($B48="","",$M48*(1-설정!$B$7))</f>
        <v/>
      </c>
      <c r="O48" s="23" t="str">
        <f aca="false">IF($B48="","",$N48-($G48*$E48+$H48))</f>
        <v/>
      </c>
      <c r="P48" s="24" t="str">
        <f aca="true">IF($B48="","",IF(AND($I48=설정!$A$11,$A48&lt;&gt;"",TODAY()-$A48&gt;=설정!$B$8),"지연!",""))</f>
        <v/>
      </c>
    </row>
    <row r="49" customFormat="false" ht="15" hidden="false" customHeight="false" outlineLevel="0" collapsed="false">
      <c r="A49" s="19"/>
      <c r="B49" s="20"/>
      <c r="C49" s="5"/>
      <c r="D49" s="5"/>
      <c r="E49" s="21"/>
      <c r="F49" s="22"/>
      <c r="G49" s="22"/>
      <c r="H49" s="22"/>
      <c r="I49" s="15"/>
      <c r="J49" s="19"/>
      <c r="K49" s="20"/>
      <c r="L49" s="20"/>
      <c r="M49" s="23" t="str">
        <f aca="false">IF($B49="","",$F49*$E49)</f>
        <v/>
      </c>
      <c r="N49" s="23" t="str">
        <f aca="false">IF($B49="","",$M49*(1-설정!$B$7))</f>
        <v/>
      </c>
      <c r="O49" s="23" t="str">
        <f aca="false">IF($B49="","",$N49-($G49*$E49+$H49))</f>
        <v/>
      </c>
      <c r="P49" s="24" t="str">
        <f aca="true">IF($B49="","",IF(AND($I49=설정!$A$11,$A49&lt;&gt;"",TODAY()-$A49&gt;=설정!$B$8),"지연!",""))</f>
        <v/>
      </c>
    </row>
    <row r="50" customFormat="false" ht="15" hidden="false" customHeight="false" outlineLevel="0" collapsed="false">
      <c r="A50" s="19"/>
      <c r="B50" s="20"/>
      <c r="C50" s="5"/>
      <c r="D50" s="5"/>
      <c r="E50" s="21"/>
      <c r="F50" s="22"/>
      <c r="G50" s="22"/>
      <c r="H50" s="22"/>
      <c r="I50" s="15"/>
      <c r="J50" s="19"/>
      <c r="K50" s="20"/>
      <c r="L50" s="20"/>
      <c r="M50" s="23" t="str">
        <f aca="false">IF($B50="","",$F50*$E50)</f>
        <v/>
      </c>
      <c r="N50" s="23" t="str">
        <f aca="false">IF($B50="","",$M50*(1-설정!$B$7))</f>
        <v/>
      </c>
      <c r="O50" s="23" t="str">
        <f aca="false">IF($B50="","",$N50-($G50*$E50+$H50))</f>
        <v/>
      </c>
      <c r="P50" s="24" t="str">
        <f aca="true">IF($B50="","",IF(AND($I50=설정!$A$11,$A50&lt;&gt;"",TODAY()-$A50&gt;=설정!$B$8),"지연!",""))</f>
        <v/>
      </c>
    </row>
    <row r="51" customFormat="false" ht="15" hidden="false" customHeight="false" outlineLevel="0" collapsed="false">
      <c r="A51" s="19"/>
      <c r="B51" s="20"/>
      <c r="C51" s="5"/>
      <c r="D51" s="5"/>
      <c r="E51" s="21"/>
      <c r="F51" s="22"/>
      <c r="G51" s="22"/>
      <c r="H51" s="22"/>
      <c r="I51" s="15"/>
      <c r="J51" s="19"/>
      <c r="K51" s="20"/>
      <c r="L51" s="20"/>
      <c r="M51" s="23" t="str">
        <f aca="false">IF($B51="","",$F51*$E51)</f>
        <v/>
      </c>
      <c r="N51" s="23" t="str">
        <f aca="false">IF($B51="","",$M51*(1-설정!$B$7))</f>
        <v/>
      </c>
      <c r="O51" s="23" t="str">
        <f aca="false">IF($B51="","",$N51-($G51*$E51+$H51))</f>
        <v/>
      </c>
      <c r="P51" s="24" t="str">
        <f aca="true">IF($B51="","",IF(AND($I51=설정!$A$11,$A51&lt;&gt;"",TODAY()-$A51&gt;=설정!$B$8),"지연!",""))</f>
        <v/>
      </c>
    </row>
    <row r="52" customFormat="false" ht="15" hidden="false" customHeight="false" outlineLevel="0" collapsed="false">
      <c r="A52" s="19"/>
      <c r="B52" s="20"/>
      <c r="C52" s="5"/>
      <c r="D52" s="5"/>
      <c r="E52" s="21"/>
      <c r="F52" s="22"/>
      <c r="G52" s="22"/>
      <c r="H52" s="22"/>
      <c r="I52" s="15"/>
      <c r="J52" s="19"/>
      <c r="K52" s="20"/>
      <c r="L52" s="20"/>
      <c r="M52" s="23" t="str">
        <f aca="false">IF($B52="","",$F52*$E52)</f>
        <v/>
      </c>
      <c r="N52" s="23" t="str">
        <f aca="false">IF($B52="","",$M52*(1-설정!$B$7))</f>
        <v/>
      </c>
      <c r="O52" s="23" t="str">
        <f aca="false">IF($B52="","",$N52-($G52*$E52+$H52))</f>
        <v/>
      </c>
      <c r="P52" s="24" t="str">
        <f aca="true">IF($B52="","",IF(AND($I52=설정!$A$11,$A52&lt;&gt;"",TODAY()-$A52&gt;=설정!$B$8),"지연!",""))</f>
        <v/>
      </c>
    </row>
    <row r="53" customFormat="false" ht="15" hidden="false" customHeight="false" outlineLevel="0" collapsed="false">
      <c r="A53" s="19"/>
      <c r="B53" s="20"/>
      <c r="C53" s="5"/>
      <c r="D53" s="5"/>
      <c r="E53" s="21"/>
      <c r="F53" s="22"/>
      <c r="G53" s="22"/>
      <c r="H53" s="22"/>
      <c r="I53" s="15"/>
      <c r="J53" s="19"/>
      <c r="K53" s="20"/>
      <c r="L53" s="20"/>
      <c r="M53" s="23" t="str">
        <f aca="false">IF($B53="","",$F53*$E53)</f>
        <v/>
      </c>
      <c r="N53" s="23" t="str">
        <f aca="false">IF($B53="","",$M53*(1-설정!$B$7))</f>
        <v/>
      </c>
      <c r="O53" s="23" t="str">
        <f aca="false">IF($B53="","",$N53-($G53*$E53+$H53))</f>
        <v/>
      </c>
      <c r="P53" s="24" t="str">
        <f aca="true">IF($B53="","",IF(AND($I53=설정!$A$11,$A53&lt;&gt;"",TODAY()-$A53&gt;=설정!$B$8),"지연!",""))</f>
        <v/>
      </c>
    </row>
    <row r="54" customFormat="false" ht="15" hidden="false" customHeight="false" outlineLevel="0" collapsed="false">
      <c r="A54" s="19"/>
      <c r="B54" s="20"/>
      <c r="C54" s="5"/>
      <c r="D54" s="5"/>
      <c r="E54" s="21"/>
      <c r="F54" s="22"/>
      <c r="G54" s="22"/>
      <c r="H54" s="22"/>
      <c r="I54" s="15"/>
      <c r="J54" s="19"/>
      <c r="K54" s="20"/>
      <c r="L54" s="20"/>
      <c r="M54" s="23" t="str">
        <f aca="false">IF($B54="","",$F54*$E54)</f>
        <v/>
      </c>
      <c r="N54" s="23" t="str">
        <f aca="false">IF($B54="","",$M54*(1-설정!$B$7))</f>
        <v/>
      </c>
      <c r="O54" s="23" t="str">
        <f aca="false">IF($B54="","",$N54-($G54*$E54+$H54))</f>
        <v/>
      </c>
      <c r="P54" s="24" t="str">
        <f aca="true">IF($B54="","",IF(AND($I54=설정!$A$11,$A54&lt;&gt;"",TODAY()-$A54&gt;=설정!$B$8),"지연!",""))</f>
        <v/>
      </c>
    </row>
    <row r="55" customFormat="false" ht="15" hidden="false" customHeight="false" outlineLevel="0" collapsed="false">
      <c r="A55" s="19"/>
      <c r="B55" s="20"/>
      <c r="C55" s="5"/>
      <c r="D55" s="5"/>
      <c r="E55" s="21"/>
      <c r="F55" s="22"/>
      <c r="G55" s="22"/>
      <c r="H55" s="22"/>
      <c r="I55" s="15"/>
      <c r="J55" s="19"/>
      <c r="K55" s="20"/>
      <c r="L55" s="20"/>
      <c r="M55" s="23" t="str">
        <f aca="false">IF($B55="","",$F55*$E55)</f>
        <v/>
      </c>
      <c r="N55" s="23" t="str">
        <f aca="false">IF($B55="","",$M55*(1-설정!$B$7))</f>
        <v/>
      </c>
      <c r="O55" s="23" t="str">
        <f aca="false">IF($B55="","",$N55-($G55*$E55+$H55))</f>
        <v/>
      </c>
      <c r="P55" s="24" t="str">
        <f aca="true">IF($B55="","",IF(AND($I55=설정!$A$11,$A55&lt;&gt;"",TODAY()-$A55&gt;=설정!$B$8),"지연!",""))</f>
        <v/>
      </c>
    </row>
    <row r="56" customFormat="false" ht="15" hidden="false" customHeight="false" outlineLevel="0" collapsed="false">
      <c r="A56" s="19"/>
      <c r="B56" s="20"/>
      <c r="C56" s="5"/>
      <c r="D56" s="5"/>
      <c r="E56" s="21"/>
      <c r="F56" s="22"/>
      <c r="G56" s="22"/>
      <c r="H56" s="22"/>
      <c r="I56" s="15"/>
      <c r="J56" s="19"/>
      <c r="K56" s="20"/>
      <c r="L56" s="20"/>
      <c r="M56" s="23" t="str">
        <f aca="false">IF($B56="","",$F56*$E56)</f>
        <v/>
      </c>
      <c r="N56" s="23" t="str">
        <f aca="false">IF($B56="","",$M56*(1-설정!$B$7))</f>
        <v/>
      </c>
      <c r="O56" s="23" t="str">
        <f aca="false">IF($B56="","",$N56-($G56*$E56+$H56))</f>
        <v/>
      </c>
      <c r="P56" s="24" t="str">
        <f aca="true">IF($B56="","",IF(AND($I56=설정!$A$11,$A56&lt;&gt;"",TODAY()-$A56&gt;=설정!$B$8),"지연!",""))</f>
        <v/>
      </c>
    </row>
    <row r="57" customFormat="false" ht="15" hidden="false" customHeight="false" outlineLevel="0" collapsed="false">
      <c r="A57" s="19"/>
      <c r="B57" s="20"/>
      <c r="C57" s="5"/>
      <c r="D57" s="5"/>
      <c r="E57" s="21"/>
      <c r="F57" s="22"/>
      <c r="G57" s="22"/>
      <c r="H57" s="22"/>
      <c r="I57" s="15"/>
      <c r="J57" s="19"/>
      <c r="K57" s="20"/>
      <c r="L57" s="20"/>
      <c r="M57" s="23" t="str">
        <f aca="false">IF($B57="","",$F57*$E57)</f>
        <v/>
      </c>
      <c r="N57" s="23" t="str">
        <f aca="false">IF($B57="","",$M57*(1-설정!$B$7))</f>
        <v/>
      </c>
      <c r="O57" s="23" t="str">
        <f aca="false">IF($B57="","",$N57-($G57*$E57+$H57))</f>
        <v/>
      </c>
      <c r="P57" s="24" t="str">
        <f aca="true">IF($B57="","",IF(AND($I57=설정!$A$11,$A57&lt;&gt;"",TODAY()-$A57&gt;=설정!$B$8),"지연!",""))</f>
        <v/>
      </c>
    </row>
    <row r="58" customFormat="false" ht="15" hidden="false" customHeight="false" outlineLevel="0" collapsed="false">
      <c r="A58" s="19"/>
      <c r="B58" s="20"/>
      <c r="C58" s="5"/>
      <c r="D58" s="5"/>
      <c r="E58" s="21"/>
      <c r="F58" s="22"/>
      <c r="G58" s="22"/>
      <c r="H58" s="22"/>
      <c r="I58" s="15"/>
      <c r="J58" s="19"/>
      <c r="K58" s="20"/>
      <c r="L58" s="20"/>
      <c r="M58" s="23" t="str">
        <f aca="false">IF($B58="","",$F58*$E58)</f>
        <v/>
      </c>
      <c r="N58" s="23" t="str">
        <f aca="false">IF($B58="","",$M58*(1-설정!$B$7))</f>
        <v/>
      </c>
      <c r="O58" s="23" t="str">
        <f aca="false">IF($B58="","",$N58-($G58*$E58+$H58))</f>
        <v/>
      </c>
      <c r="P58" s="24" t="str">
        <f aca="true">IF($B58="","",IF(AND($I58=설정!$A$11,$A58&lt;&gt;"",TODAY()-$A58&gt;=설정!$B$8),"지연!",""))</f>
        <v/>
      </c>
    </row>
    <row r="59" customFormat="false" ht="15" hidden="false" customHeight="false" outlineLevel="0" collapsed="false">
      <c r="A59" s="19"/>
      <c r="B59" s="20"/>
      <c r="C59" s="5"/>
      <c r="D59" s="5"/>
      <c r="E59" s="21"/>
      <c r="F59" s="22"/>
      <c r="G59" s="22"/>
      <c r="H59" s="22"/>
      <c r="I59" s="15"/>
      <c r="J59" s="19"/>
      <c r="K59" s="20"/>
      <c r="L59" s="20"/>
      <c r="M59" s="23" t="str">
        <f aca="false">IF($B59="","",$F59*$E59)</f>
        <v/>
      </c>
      <c r="N59" s="23" t="str">
        <f aca="false">IF($B59="","",$M59*(1-설정!$B$7))</f>
        <v/>
      </c>
      <c r="O59" s="23" t="str">
        <f aca="false">IF($B59="","",$N59-($G59*$E59+$H59))</f>
        <v/>
      </c>
      <c r="P59" s="24" t="str">
        <f aca="true">IF($B59="","",IF(AND($I59=설정!$A$11,$A59&lt;&gt;"",TODAY()-$A59&gt;=설정!$B$8),"지연!",""))</f>
        <v/>
      </c>
    </row>
    <row r="60" customFormat="false" ht="15" hidden="false" customHeight="false" outlineLevel="0" collapsed="false">
      <c r="A60" s="19"/>
      <c r="B60" s="20"/>
      <c r="C60" s="5"/>
      <c r="D60" s="5"/>
      <c r="E60" s="21"/>
      <c r="F60" s="22"/>
      <c r="G60" s="22"/>
      <c r="H60" s="22"/>
      <c r="I60" s="15"/>
      <c r="J60" s="19"/>
      <c r="K60" s="20"/>
      <c r="L60" s="20"/>
      <c r="M60" s="23" t="str">
        <f aca="false">IF($B60="","",$F60*$E60)</f>
        <v/>
      </c>
      <c r="N60" s="23" t="str">
        <f aca="false">IF($B60="","",$M60*(1-설정!$B$7))</f>
        <v/>
      </c>
      <c r="O60" s="23" t="str">
        <f aca="false">IF($B60="","",$N60-($G60*$E60+$H60))</f>
        <v/>
      </c>
      <c r="P60" s="24" t="str">
        <f aca="true">IF($B60="","",IF(AND($I60=설정!$A$11,$A60&lt;&gt;"",TODAY()-$A60&gt;=설정!$B$8),"지연!",""))</f>
        <v/>
      </c>
    </row>
    <row r="61" customFormat="false" ht="15" hidden="false" customHeight="false" outlineLevel="0" collapsed="false">
      <c r="A61" s="19"/>
      <c r="B61" s="20"/>
      <c r="C61" s="5"/>
      <c r="D61" s="5"/>
      <c r="E61" s="21"/>
      <c r="F61" s="22"/>
      <c r="G61" s="22"/>
      <c r="H61" s="22"/>
      <c r="I61" s="15"/>
      <c r="J61" s="19"/>
      <c r="K61" s="20"/>
      <c r="L61" s="20"/>
      <c r="M61" s="23" t="str">
        <f aca="false">IF($B61="","",$F61*$E61)</f>
        <v/>
      </c>
      <c r="N61" s="23" t="str">
        <f aca="false">IF($B61="","",$M61*(1-설정!$B$7))</f>
        <v/>
      </c>
      <c r="O61" s="23" t="str">
        <f aca="false">IF($B61="","",$N61-($G61*$E61+$H61))</f>
        <v/>
      </c>
      <c r="P61" s="24" t="str">
        <f aca="true">IF($B61="","",IF(AND($I61=설정!$A$11,$A61&lt;&gt;"",TODAY()-$A61&gt;=설정!$B$8),"지연!",""))</f>
        <v/>
      </c>
    </row>
    <row r="62" customFormat="false" ht="15" hidden="false" customHeight="false" outlineLevel="0" collapsed="false">
      <c r="A62" s="19"/>
      <c r="B62" s="20"/>
      <c r="C62" s="5"/>
      <c r="D62" s="5"/>
      <c r="E62" s="21"/>
      <c r="F62" s="22"/>
      <c r="G62" s="22"/>
      <c r="H62" s="22"/>
      <c r="I62" s="15"/>
      <c r="J62" s="19"/>
      <c r="K62" s="20"/>
      <c r="L62" s="20"/>
      <c r="M62" s="23" t="str">
        <f aca="false">IF($B62="","",$F62*$E62)</f>
        <v/>
      </c>
      <c r="N62" s="23" t="str">
        <f aca="false">IF($B62="","",$M62*(1-설정!$B$7))</f>
        <v/>
      </c>
      <c r="O62" s="23" t="str">
        <f aca="false">IF($B62="","",$N62-($G62*$E62+$H62))</f>
        <v/>
      </c>
      <c r="P62" s="24" t="str">
        <f aca="true">IF($B62="","",IF(AND($I62=설정!$A$11,$A62&lt;&gt;"",TODAY()-$A62&gt;=설정!$B$8),"지연!",""))</f>
        <v/>
      </c>
    </row>
    <row r="63" customFormat="false" ht="15" hidden="false" customHeight="false" outlineLevel="0" collapsed="false">
      <c r="A63" s="19"/>
      <c r="B63" s="20"/>
      <c r="C63" s="5"/>
      <c r="D63" s="5"/>
      <c r="E63" s="21"/>
      <c r="F63" s="22"/>
      <c r="G63" s="22"/>
      <c r="H63" s="22"/>
      <c r="I63" s="15"/>
      <c r="J63" s="19"/>
      <c r="K63" s="20"/>
      <c r="L63" s="20"/>
      <c r="M63" s="23" t="str">
        <f aca="false">IF($B63="","",$F63*$E63)</f>
        <v/>
      </c>
      <c r="N63" s="23" t="str">
        <f aca="false">IF($B63="","",$M63*(1-설정!$B$7))</f>
        <v/>
      </c>
      <c r="O63" s="23" t="str">
        <f aca="false">IF($B63="","",$N63-($G63*$E63+$H63))</f>
        <v/>
      </c>
      <c r="P63" s="24" t="str">
        <f aca="true">IF($B63="","",IF(AND($I63=설정!$A$11,$A63&lt;&gt;"",TODAY()-$A63&gt;=설정!$B$8),"지연!",""))</f>
        <v/>
      </c>
    </row>
    <row r="64" customFormat="false" ht="15" hidden="false" customHeight="false" outlineLevel="0" collapsed="false">
      <c r="A64" s="19"/>
      <c r="B64" s="20"/>
      <c r="C64" s="5"/>
      <c r="D64" s="5"/>
      <c r="E64" s="21"/>
      <c r="F64" s="22"/>
      <c r="G64" s="22"/>
      <c r="H64" s="22"/>
      <c r="I64" s="15"/>
      <c r="J64" s="19"/>
      <c r="K64" s="20"/>
      <c r="L64" s="20"/>
      <c r="M64" s="23" t="str">
        <f aca="false">IF($B64="","",$F64*$E64)</f>
        <v/>
      </c>
      <c r="N64" s="23" t="str">
        <f aca="false">IF($B64="","",$M64*(1-설정!$B$7))</f>
        <v/>
      </c>
      <c r="O64" s="23" t="str">
        <f aca="false">IF($B64="","",$N64-($G64*$E64+$H64))</f>
        <v/>
      </c>
      <c r="P64" s="24" t="str">
        <f aca="true">IF($B64="","",IF(AND($I64=설정!$A$11,$A64&lt;&gt;"",TODAY()-$A64&gt;=설정!$B$8),"지연!",""))</f>
        <v/>
      </c>
    </row>
    <row r="65" customFormat="false" ht="15" hidden="false" customHeight="false" outlineLevel="0" collapsed="false">
      <c r="A65" s="19"/>
      <c r="B65" s="20"/>
      <c r="C65" s="5"/>
      <c r="D65" s="5"/>
      <c r="E65" s="21"/>
      <c r="F65" s="22"/>
      <c r="G65" s="22"/>
      <c r="H65" s="22"/>
      <c r="I65" s="15"/>
      <c r="J65" s="19"/>
      <c r="K65" s="20"/>
      <c r="L65" s="20"/>
      <c r="M65" s="23" t="str">
        <f aca="false">IF($B65="","",$F65*$E65)</f>
        <v/>
      </c>
      <c r="N65" s="23" t="str">
        <f aca="false">IF($B65="","",$M65*(1-설정!$B$7))</f>
        <v/>
      </c>
      <c r="O65" s="23" t="str">
        <f aca="false">IF($B65="","",$N65-($G65*$E65+$H65))</f>
        <v/>
      </c>
      <c r="P65" s="24" t="str">
        <f aca="true">IF($B65="","",IF(AND($I65=설정!$A$11,$A65&lt;&gt;"",TODAY()-$A65&gt;=설정!$B$8),"지연!",""))</f>
        <v/>
      </c>
    </row>
    <row r="66" customFormat="false" ht="15" hidden="false" customHeight="false" outlineLevel="0" collapsed="false">
      <c r="A66" s="19"/>
      <c r="B66" s="20"/>
      <c r="C66" s="5"/>
      <c r="D66" s="5"/>
      <c r="E66" s="21"/>
      <c r="F66" s="22"/>
      <c r="G66" s="22"/>
      <c r="H66" s="22"/>
      <c r="I66" s="15"/>
      <c r="J66" s="19"/>
      <c r="K66" s="20"/>
      <c r="L66" s="20"/>
      <c r="M66" s="23" t="str">
        <f aca="false">IF($B66="","",$F66*$E66)</f>
        <v/>
      </c>
      <c r="N66" s="23" t="str">
        <f aca="false">IF($B66="","",$M66*(1-설정!$B$7))</f>
        <v/>
      </c>
      <c r="O66" s="23" t="str">
        <f aca="false">IF($B66="","",$N66-($G66*$E66+$H66))</f>
        <v/>
      </c>
      <c r="P66" s="24" t="str">
        <f aca="true">IF($B66="","",IF(AND($I66=설정!$A$11,$A66&lt;&gt;"",TODAY()-$A66&gt;=설정!$B$8),"지연!",""))</f>
        <v/>
      </c>
    </row>
    <row r="67" customFormat="false" ht="15" hidden="false" customHeight="false" outlineLevel="0" collapsed="false">
      <c r="A67" s="19"/>
      <c r="B67" s="20"/>
      <c r="C67" s="5"/>
      <c r="D67" s="5"/>
      <c r="E67" s="21"/>
      <c r="F67" s="22"/>
      <c r="G67" s="22"/>
      <c r="H67" s="22"/>
      <c r="I67" s="15"/>
      <c r="J67" s="19"/>
      <c r="K67" s="20"/>
      <c r="L67" s="20"/>
      <c r="M67" s="23" t="str">
        <f aca="false">IF($B67="","",$F67*$E67)</f>
        <v/>
      </c>
      <c r="N67" s="23" t="str">
        <f aca="false">IF($B67="","",$M67*(1-설정!$B$7))</f>
        <v/>
      </c>
      <c r="O67" s="23" t="str">
        <f aca="false">IF($B67="","",$N67-($G67*$E67+$H67))</f>
        <v/>
      </c>
      <c r="P67" s="24" t="str">
        <f aca="true">IF($B67="","",IF(AND($I67=설정!$A$11,$A67&lt;&gt;"",TODAY()-$A67&gt;=설정!$B$8),"지연!",""))</f>
        <v/>
      </c>
    </row>
    <row r="68" customFormat="false" ht="15" hidden="false" customHeight="false" outlineLevel="0" collapsed="false">
      <c r="A68" s="19"/>
      <c r="B68" s="20"/>
      <c r="C68" s="5"/>
      <c r="D68" s="5"/>
      <c r="E68" s="21"/>
      <c r="F68" s="22"/>
      <c r="G68" s="22"/>
      <c r="H68" s="22"/>
      <c r="I68" s="15"/>
      <c r="J68" s="19"/>
      <c r="K68" s="20"/>
      <c r="L68" s="20"/>
      <c r="M68" s="23" t="str">
        <f aca="false">IF($B68="","",$F68*$E68)</f>
        <v/>
      </c>
      <c r="N68" s="23" t="str">
        <f aca="false">IF($B68="","",$M68*(1-설정!$B$7))</f>
        <v/>
      </c>
      <c r="O68" s="23" t="str">
        <f aca="false">IF($B68="","",$N68-($G68*$E68+$H68))</f>
        <v/>
      </c>
      <c r="P68" s="24" t="str">
        <f aca="true">IF($B68="","",IF(AND($I68=설정!$A$11,$A68&lt;&gt;"",TODAY()-$A68&gt;=설정!$B$8),"지연!",""))</f>
        <v/>
      </c>
    </row>
    <row r="69" customFormat="false" ht="15" hidden="false" customHeight="false" outlineLevel="0" collapsed="false">
      <c r="A69" s="19"/>
      <c r="B69" s="20"/>
      <c r="C69" s="5"/>
      <c r="D69" s="5"/>
      <c r="E69" s="21"/>
      <c r="F69" s="22"/>
      <c r="G69" s="22"/>
      <c r="H69" s="22"/>
      <c r="I69" s="15"/>
      <c r="J69" s="19"/>
      <c r="K69" s="20"/>
      <c r="L69" s="20"/>
      <c r="M69" s="23" t="str">
        <f aca="false">IF($B69="","",$F69*$E69)</f>
        <v/>
      </c>
      <c r="N69" s="23" t="str">
        <f aca="false">IF($B69="","",$M69*(1-설정!$B$7))</f>
        <v/>
      </c>
      <c r="O69" s="23" t="str">
        <f aca="false">IF($B69="","",$N69-($G69*$E69+$H69))</f>
        <v/>
      </c>
      <c r="P69" s="24" t="str">
        <f aca="true">IF($B69="","",IF(AND($I69=설정!$A$11,$A69&lt;&gt;"",TODAY()-$A69&gt;=설정!$B$8),"지연!",""))</f>
        <v/>
      </c>
    </row>
    <row r="70" customFormat="false" ht="15" hidden="false" customHeight="false" outlineLevel="0" collapsed="false">
      <c r="A70" s="19"/>
      <c r="B70" s="20"/>
      <c r="C70" s="5"/>
      <c r="D70" s="5"/>
      <c r="E70" s="21"/>
      <c r="F70" s="22"/>
      <c r="G70" s="22"/>
      <c r="H70" s="22"/>
      <c r="I70" s="15"/>
      <c r="J70" s="19"/>
      <c r="K70" s="20"/>
      <c r="L70" s="20"/>
      <c r="M70" s="23" t="str">
        <f aca="false">IF($B70="","",$F70*$E70)</f>
        <v/>
      </c>
      <c r="N70" s="23" t="str">
        <f aca="false">IF($B70="","",$M70*(1-설정!$B$7))</f>
        <v/>
      </c>
      <c r="O70" s="23" t="str">
        <f aca="false">IF($B70="","",$N70-($G70*$E70+$H70))</f>
        <v/>
      </c>
      <c r="P70" s="24" t="str">
        <f aca="true">IF($B70="","",IF(AND($I70=설정!$A$11,$A70&lt;&gt;"",TODAY()-$A70&gt;=설정!$B$8),"지연!",""))</f>
        <v/>
      </c>
    </row>
    <row r="71" customFormat="false" ht="15" hidden="false" customHeight="false" outlineLevel="0" collapsed="false">
      <c r="A71" s="19"/>
      <c r="B71" s="20"/>
      <c r="C71" s="5"/>
      <c r="D71" s="5"/>
      <c r="E71" s="21"/>
      <c r="F71" s="22"/>
      <c r="G71" s="22"/>
      <c r="H71" s="22"/>
      <c r="I71" s="15"/>
      <c r="J71" s="19"/>
      <c r="K71" s="20"/>
      <c r="L71" s="20"/>
      <c r="M71" s="23" t="str">
        <f aca="false">IF($B71="","",$F71*$E71)</f>
        <v/>
      </c>
      <c r="N71" s="23" t="str">
        <f aca="false">IF($B71="","",$M71*(1-설정!$B$7))</f>
        <v/>
      </c>
      <c r="O71" s="23" t="str">
        <f aca="false">IF($B71="","",$N71-($G71*$E71+$H71))</f>
        <v/>
      </c>
      <c r="P71" s="24" t="str">
        <f aca="true">IF($B71="","",IF(AND($I71=설정!$A$11,$A71&lt;&gt;"",TODAY()-$A71&gt;=설정!$B$8),"지연!",""))</f>
        <v/>
      </c>
    </row>
    <row r="72" customFormat="false" ht="15" hidden="false" customHeight="false" outlineLevel="0" collapsed="false">
      <c r="A72" s="19"/>
      <c r="B72" s="20"/>
      <c r="C72" s="5"/>
      <c r="D72" s="5"/>
      <c r="E72" s="21"/>
      <c r="F72" s="22"/>
      <c r="G72" s="22"/>
      <c r="H72" s="22"/>
      <c r="I72" s="15"/>
      <c r="J72" s="19"/>
      <c r="K72" s="20"/>
      <c r="L72" s="20"/>
      <c r="M72" s="23" t="str">
        <f aca="false">IF($B72="","",$F72*$E72)</f>
        <v/>
      </c>
      <c r="N72" s="23" t="str">
        <f aca="false">IF($B72="","",$M72*(1-설정!$B$7))</f>
        <v/>
      </c>
      <c r="O72" s="23" t="str">
        <f aca="false">IF($B72="","",$N72-($G72*$E72+$H72))</f>
        <v/>
      </c>
      <c r="P72" s="24" t="str">
        <f aca="true">IF($B72="","",IF(AND($I72=설정!$A$11,$A72&lt;&gt;"",TODAY()-$A72&gt;=설정!$B$8),"지연!",""))</f>
        <v/>
      </c>
    </row>
    <row r="73" customFormat="false" ht="15" hidden="false" customHeight="false" outlineLevel="0" collapsed="false">
      <c r="A73" s="19"/>
      <c r="B73" s="20"/>
      <c r="C73" s="5"/>
      <c r="D73" s="5"/>
      <c r="E73" s="21"/>
      <c r="F73" s="22"/>
      <c r="G73" s="22"/>
      <c r="H73" s="22"/>
      <c r="I73" s="15"/>
      <c r="J73" s="19"/>
      <c r="K73" s="20"/>
      <c r="L73" s="20"/>
      <c r="M73" s="23" t="str">
        <f aca="false">IF($B73="","",$F73*$E73)</f>
        <v/>
      </c>
      <c r="N73" s="23" t="str">
        <f aca="false">IF($B73="","",$M73*(1-설정!$B$7))</f>
        <v/>
      </c>
      <c r="O73" s="23" t="str">
        <f aca="false">IF($B73="","",$N73-($G73*$E73+$H73))</f>
        <v/>
      </c>
      <c r="P73" s="24" t="str">
        <f aca="true">IF($B73="","",IF(AND($I73=설정!$A$11,$A73&lt;&gt;"",TODAY()-$A73&gt;=설정!$B$8),"지연!",""))</f>
        <v/>
      </c>
    </row>
    <row r="74" customFormat="false" ht="15" hidden="false" customHeight="false" outlineLevel="0" collapsed="false">
      <c r="A74" s="19"/>
      <c r="B74" s="20"/>
      <c r="C74" s="5"/>
      <c r="D74" s="5"/>
      <c r="E74" s="21"/>
      <c r="F74" s="22"/>
      <c r="G74" s="22"/>
      <c r="H74" s="22"/>
      <c r="I74" s="15"/>
      <c r="J74" s="19"/>
      <c r="K74" s="20"/>
      <c r="L74" s="20"/>
      <c r="M74" s="23" t="str">
        <f aca="false">IF($B74="","",$F74*$E74)</f>
        <v/>
      </c>
      <c r="N74" s="23" t="str">
        <f aca="false">IF($B74="","",$M74*(1-설정!$B$7))</f>
        <v/>
      </c>
      <c r="O74" s="23" t="str">
        <f aca="false">IF($B74="","",$N74-($G74*$E74+$H74))</f>
        <v/>
      </c>
      <c r="P74" s="24" t="str">
        <f aca="true">IF($B74="","",IF(AND($I74=설정!$A$11,$A74&lt;&gt;"",TODAY()-$A74&gt;=설정!$B$8),"지연!",""))</f>
        <v/>
      </c>
    </row>
    <row r="75" customFormat="false" ht="15" hidden="false" customHeight="false" outlineLevel="0" collapsed="false">
      <c r="A75" s="19"/>
      <c r="B75" s="20"/>
      <c r="C75" s="5"/>
      <c r="D75" s="5"/>
      <c r="E75" s="21"/>
      <c r="F75" s="22"/>
      <c r="G75" s="22"/>
      <c r="H75" s="22"/>
      <c r="I75" s="15"/>
      <c r="J75" s="19"/>
      <c r="K75" s="20"/>
      <c r="L75" s="20"/>
      <c r="M75" s="23" t="str">
        <f aca="false">IF($B75="","",$F75*$E75)</f>
        <v/>
      </c>
      <c r="N75" s="23" t="str">
        <f aca="false">IF($B75="","",$M75*(1-설정!$B$7))</f>
        <v/>
      </c>
      <c r="O75" s="23" t="str">
        <f aca="false">IF($B75="","",$N75-($G75*$E75+$H75))</f>
        <v/>
      </c>
      <c r="P75" s="24" t="str">
        <f aca="true">IF($B75="","",IF(AND($I75=설정!$A$11,$A75&lt;&gt;"",TODAY()-$A75&gt;=설정!$B$8),"지연!",""))</f>
        <v/>
      </c>
    </row>
    <row r="76" customFormat="false" ht="15" hidden="false" customHeight="false" outlineLevel="0" collapsed="false">
      <c r="A76" s="19"/>
      <c r="B76" s="20"/>
      <c r="C76" s="5"/>
      <c r="D76" s="5"/>
      <c r="E76" s="21"/>
      <c r="F76" s="22"/>
      <c r="G76" s="22"/>
      <c r="H76" s="22"/>
      <c r="I76" s="15"/>
      <c r="J76" s="19"/>
      <c r="K76" s="20"/>
      <c r="L76" s="20"/>
      <c r="M76" s="23" t="str">
        <f aca="false">IF($B76="","",$F76*$E76)</f>
        <v/>
      </c>
      <c r="N76" s="23" t="str">
        <f aca="false">IF($B76="","",$M76*(1-설정!$B$7))</f>
        <v/>
      </c>
      <c r="O76" s="23" t="str">
        <f aca="false">IF($B76="","",$N76-($G76*$E76+$H76))</f>
        <v/>
      </c>
      <c r="P76" s="24" t="str">
        <f aca="true">IF($B76="","",IF(AND($I76=설정!$A$11,$A76&lt;&gt;"",TODAY()-$A76&gt;=설정!$B$8),"지연!",""))</f>
        <v/>
      </c>
    </row>
    <row r="77" customFormat="false" ht="15" hidden="false" customHeight="false" outlineLevel="0" collapsed="false">
      <c r="A77" s="19"/>
      <c r="B77" s="20"/>
      <c r="C77" s="5"/>
      <c r="D77" s="5"/>
      <c r="E77" s="21"/>
      <c r="F77" s="22"/>
      <c r="G77" s="22"/>
      <c r="H77" s="22"/>
      <c r="I77" s="15"/>
      <c r="J77" s="19"/>
      <c r="K77" s="20"/>
      <c r="L77" s="20"/>
      <c r="M77" s="23" t="str">
        <f aca="false">IF($B77="","",$F77*$E77)</f>
        <v/>
      </c>
      <c r="N77" s="23" t="str">
        <f aca="false">IF($B77="","",$M77*(1-설정!$B$7))</f>
        <v/>
      </c>
      <c r="O77" s="23" t="str">
        <f aca="false">IF($B77="","",$N77-($G77*$E77+$H77))</f>
        <v/>
      </c>
      <c r="P77" s="24" t="str">
        <f aca="true">IF($B77="","",IF(AND($I77=설정!$A$11,$A77&lt;&gt;"",TODAY()-$A77&gt;=설정!$B$8),"지연!",""))</f>
        <v/>
      </c>
    </row>
    <row r="78" customFormat="false" ht="15" hidden="false" customHeight="false" outlineLevel="0" collapsed="false">
      <c r="A78" s="19"/>
      <c r="B78" s="20"/>
      <c r="C78" s="5"/>
      <c r="D78" s="5"/>
      <c r="E78" s="21"/>
      <c r="F78" s="22"/>
      <c r="G78" s="22"/>
      <c r="H78" s="22"/>
      <c r="I78" s="15"/>
      <c r="J78" s="19"/>
      <c r="K78" s="20"/>
      <c r="L78" s="20"/>
      <c r="M78" s="23" t="str">
        <f aca="false">IF($B78="","",$F78*$E78)</f>
        <v/>
      </c>
      <c r="N78" s="23" t="str">
        <f aca="false">IF($B78="","",$M78*(1-설정!$B$7))</f>
        <v/>
      </c>
      <c r="O78" s="23" t="str">
        <f aca="false">IF($B78="","",$N78-($G78*$E78+$H78))</f>
        <v/>
      </c>
      <c r="P78" s="24" t="str">
        <f aca="true">IF($B78="","",IF(AND($I78=설정!$A$11,$A78&lt;&gt;"",TODAY()-$A78&gt;=설정!$B$8),"지연!",""))</f>
        <v/>
      </c>
    </row>
    <row r="79" customFormat="false" ht="15" hidden="false" customHeight="false" outlineLevel="0" collapsed="false">
      <c r="A79" s="19"/>
      <c r="B79" s="20"/>
      <c r="C79" s="5"/>
      <c r="D79" s="5"/>
      <c r="E79" s="21"/>
      <c r="F79" s="22"/>
      <c r="G79" s="22"/>
      <c r="H79" s="22"/>
      <c r="I79" s="15"/>
      <c r="J79" s="19"/>
      <c r="K79" s="20"/>
      <c r="L79" s="20"/>
      <c r="M79" s="23" t="str">
        <f aca="false">IF($B79="","",$F79*$E79)</f>
        <v/>
      </c>
      <c r="N79" s="23" t="str">
        <f aca="false">IF($B79="","",$M79*(1-설정!$B$7))</f>
        <v/>
      </c>
      <c r="O79" s="23" t="str">
        <f aca="false">IF($B79="","",$N79-($G79*$E79+$H79))</f>
        <v/>
      </c>
      <c r="P79" s="24" t="str">
        <f aca="true">IF($B79="","",IF(AND($I79=설정!$A$11,$A79&lt;&gt;"",TODAY()-$A79&gt;=설정!$B$8),"지연!",""))</f>
        <v/>
      </c>
    </row>
    <row r="80" customFormat="false" ht="15" hidden="false" customHeight="false" outlineLevel="0" collapsed="false">
      <c r="A80" s="19"/>
      <c r="B80" s="20"/>
      <c r="C80" s="5"/>
      <c r="D80" s="5"/>
      <c r="E80" s="21"/>
      <c r="F80" s="22"/>
      <c r="G80" s="22"/>
      <c r="H80" s="22"/>
      <c r="I80" s="15"/>
      <c r="J80" s="19"/>
      <c r="K80" s="20"/>
      <c r="L80" s="20"/>
      <c r="M80" s="23" t="str">
        <f aca="false">IF($B80="","",$F80*$E80)</f>
        <v/>
      </c>
      <c r="N80" s="23" t="str">
        <f aca="false">IF($B80="","",$M80*(1-설정!$B$7))</f>
        <v/>
      </c>
      <c r="O80" s="23" t="str">
        <f aca="false">IF($B80="","",$N80-($G80*$E80+$H80))</f>
        <v/>
      </c>
      <c r="P80" s="24" t="str">
        <f aca="true">IF($B80="","",IF(AND($I80=설정!$A$11,$A80&lt;&gt;"",TODAY()-$A80&gt;=설정!$B$8),"지연!",""))</f>
        <v/>
      </c>
    </row>
    <row r="81" customFormat="false" ht="15" hidden="false" customHeight="false" outlineLevel="0" collapsed="false">
      <c r="A81" s="19"/>
      <c r="B81" s="20"/>
      <c r="C81" s="5"/>
      <c r="D81" s="5"/>
      <c r="E81" s="21"/>
      <c r="F81" s="22"/>
      <c r="G81" s="22"/>
      <c r="H81" s="22"/>
      <c r="I81" s="15"/>
      <c r="J81" s="19"/>
      <c r="K81" s="20"/>
      <c r="L81" s="20"/>
      <c r="M81" s="23" t="str">
        <f aca="false">IF($B81="","",$F81*$E81)</f>
        <v/>
      </c>
      <c r="N81" s="23" t="str">
        <f aca="false">IF($B81="","",$M81*(1-설정!$B$7))</f>
        <v/>
      </c>
      <c r="O81" s="23" t="str">
        <f aca="false">IF($B81="","",$N81-($G81*$E81+$H81))</f>
        <v/>
      </c>
      <c r="P81" s="24" t="str">
        <f aca="true">IF($B81="","",IF(AND($I81=설정!$A$11,$A81&lt;&gt;"",TODAY()-$A81&gt;=설정!$B$8),"지연!",""))</f>
        <v/>
      </c>
    </row>
    <row r="82" customFormat="false" ht="15" hidden="false" customHeight="false" outlineLevel="0" collapsed="false">
      <c r="A82" s="19"/>
      <c r="B82" s="20"/>
      <c r="C82" s="5"/>
      <c r="D82" s="5"/>
      <c r="E82" s="21"/>
      <c r="F82" s="22"/>
      <c r="G82" s="22"/>
      <c r="H82" s="22"/>
      <c r="I82" s="15"/>
      <c r="J82" s="19"/>
      <c r="K82" s="20"/>
      <c r="L82" s="20"/>
      <c r="M82" s="23" t="str">
        <f aca="false">IF($B82="","",$F82*$E82)</f>
        <v/>
      </c>
      <c r="N82" s="23" t="str">
        <f aca="false">IF($B82="","",$M82*(1-설정!$B$7))</f>
        <v/>
      </c>
      <c r="O82" s="23" t="str">
        <f aca="false">IF($B82="","",$N82-($G82*$E82+$H82))</f>
        <v/>
      </c>
      <c r="P82" s="24" t="str">
        <f aca="true">IF($B82="","",IF(AND($I82=설정!$A$11,$A82&lt;&gt;"",TODAY()-$A82&gt;=설정!$B$8),"지연!",""))</f>
        <v/>
      </c>
    </row>
    <row r="83" customFormat="false" ht="15" hidden="false" customHeight="false" outlineLevel="0" collapsed="false">
      <c r="A83" s="19"/>
      <c r="B83" s="20"/>
      <c r="C83" s="5"/>
      <c r="D83" s="5"/>
      <c r="E83" s="21"/>
      <c r="F83" s="22"/>
      <c r="G83" s="22"/>
      <c r="H83" s="22"/>
      <c r="I83" s="15"/>
      <c r="J83" s="19"/>
      <c r="K83" s="20"/>
      <c r="L83" s="20"/>
      <c r="M83" s="23" t="str">
        <f aca="false">IF($B83="","",$F83*$E83)</f>
        <v/>
      </c>
      <c r="N83" s="23" t="str">
        <f aca="false">IF($B83="","",$M83*(1-설정!$B$7))</f>
        <v/>
      </c>
      <c r="O83" s="23" t="str">
        <f aca="false">IF($B83="","",$N83-($G83*$E83+$H83))</f>
        <v/>
      </c>
      <c r="P83" s="24" t="str">
        <f aca="true">IF($B83="","",IF(AND($I83=설정!$A$11,$A83&lt;&gt;"",TODAY()-$A83&gt;=설정!$B$8),"지연!",""))</f>
        <v/>
      </c>
    </row>
    <row r="84" customFormat="false" ht="15" hidden="false" customHeight="false" outlineLevel="0" collapsed="false">
      <c r="A84" s="19"/>
      <c r="B84" s="20"/>
      <c r="C84" s="5"/>
      <c r="D84" s="5"/>
      <c r="E84" s="21"/>
      <c r="F84" s="22"/>
      <c r="G84" s="22"/>
      <c r="H84" s="22"/>
      <c r="I84" s="15"/>
      <c r="J84" s="19"/>
      <c r="K84" s="20"/>
      <c r="L84" s="20"/>
      <c r="M84" s="23" t="str">
        <f aca="false">IF($B84="","",$F84*$E84)</f>
        <v/>
      </c>
      <c r="N84" s="23" t="str">
        <f aca="false">IF($B84="","",$M84*(1-설정!$B$7))</f>
        <v/>
      </c>
      <c r="O84" s="23" t="str">
        <f aca="false">IF($B84="","",$N84-($G84*$E84+$H84))</f>
        <v/>
      </c>
      <c r="P84" s="24" t="str">
        <f aca="true">IF($B84="","",IF(AND($I84=설정!$A$11,$A84&lt;&gt;"",TODAY()-$A84&gt;=설정!$B$8),"지연!",""))</f>
        <v/>
      </c>
    </row>
    <row r="85" customFormat="false" ht="15" hidden="false" customHeight="false" outlineLevel="0" collapsed="false">
      <c r="A85" s="19"/>
      <c r="B85" s="20"/>
      <c r="C85" s="5"/>
      <c r="D85" s="5"/>
      <c r="E85" s="21"/>
      <c r="F85" s="22"/>
      <c r="G85" s="22"/>
      <c r="H85" s="22"/>
      <c r="I85" s="15"/>
      <c r="J85" s="19"/>
      <c r="K85" s="20"/>
      <c r="L85" s="20"/>
      <c r="M85" s="23" t="str">
        <f aca="false">IF($B85="","",$F85*$E85)</f>
        <v/>
      </c>
      <c r="N85" s="23" t="str">
        <f aca="false">IF($B85="","",$M85*(1-설정!$B$7))</f>
        <v/>
      </c>
      <c r="O85" s="23" t="str">
        <f aca="false">IF($B85="","",$N85-($G85*$E85+$H85))</f>
        <v/>
      </c>
      <c r="P85" s="24" t="str">
        <f aca="true">IF($B85="","",IF(AND($I85=설정!$A$11,$A85&lt;&gt;"",TODAY()-$A85&gt;=설정!$B$8),"지연!",""))</f>
        <v/>
      </c>
    </row>
    <row r="86" customFormat="false" ht="15" hidden="false" customHeight="false" outlineLevel="0" collapsed="false">
      <c r="A86" s="19"/>
      <c r="B86" s="20"/>
      <c r="C86" s="5"/>
      <c r="D86" s="5"/>
      <c r="E86" s="21"/>
      <c r="F86" s="22"/>
      <c r="G86" s="22"/>
      <c r="H86" s="22"/>
      <c r="I86" s="15"/>
      <c r="J86" s="19"/>
      <c r="K86" s="20"/>
      <c r="L86" s="20"/>
      <c r="M86" s="23" t="str">
        <f aca="false">IF($B86="","",$F86*$E86)</f>
        <v/>
      </c>
      <c r="N86" s="23" t="str">
        <f aca="false">IF($B86="","",$M86*(1-설정!$B$7))</f>
        <v/>
      </c>
      <c r="O86" s="23" t="str">
        <f aca="false">IF($B86="","",$N86-($G86*$E86+$H86))</f>
        <v/>
      </c>
      <c r="P86" s="24" t="str">
        <f aca="true">IF($B86="","",IF(AND($I86=설정!$A$11,$A86&lt;&gt;"",TODAY()-$A86&gt;=설정!$B$8),"지연!",""))</f>
        <v/>
      </c>
    </row>
    <row r="87" customFormat="false" ht="15" hidden="false" customHeight="false" outlineLevel="0" collapsed="false">
      <c r="A87" s="19"/>
      <c r="B87" s="20"/>
      <c r="C87" s="5"/>
      <c r="D87" s="5"/>
      <c r="E87" s="21"/>
      <c r="F87" s="22"/>
      <c r="G87" s="22"/>
      <c r="H87" s="22"/>
      <c r="I87" s="15"/>
      <c r="J87" s="19"/>
      <c r="K87" s="20"/>
      <c r="L87" s="20"/>
      <c r="M87" s="23" t="str">
        <f aca="false">IF($B87="","",$F87*$E87)</f>
        <v/>
      </c>
      <c r="N87" s="23" t="str">
        <f aca="false">IF($B87="","",$M87*(1-설정!$B$7))</f>
        <v/>
      </c>
      <c r="O87" s="23" t="str">
        <f aca="false">IF($B87="","",$N87-($G87*$E87+$H87))</f>
        <v/>
      </c>
      <c r="P87" s="24" t="str">
        <f aca="true">IF($B87="","",IF(AND($I87=설정!$A$11,$A87&lt;&gt;"",TODAY()-$A87&gt;=설정!$B$8),"지연!",""))</f>
        <v/>
      </c>
    </row>
    <row r="88" customFormat="false" ht="15" hidden="false" customHeight="false" outlineLevel="0" collapsed="false">
      <c r="A88" s="19"/>
      <c r="B88" s="20"/>
      <c r="C88" s="5"/>
      <c r="D88" s="5"/>
      <c r="E88" s="21"/>
      <c r="F88" s="22"/>
      <c r="G88" s="22"/>
      <c r="H88" s="22"/>
      <c r="I88" s="15"/>
      <c r="J88" s="19"/>
      <c r="K88" s="20"/>
      <c r="L88" s="20"/>
      <c r="M88" s="23" t="str">
        <f aca="false">IF($B88="","",$F88*$E88)</f>
        <v/>
      </c>
      <c r="N88" s="23" t="str">
        <f aca="false">IF($B88="","",$M88*(1-설정!$B$7))</f>
        <v/>
      </c>
      <c r="O88" s="23" t="str">
        <f aca="false">IF($B88="","",$N88-($G88*$E88+$H88))</f>
        <v/>
      </c>
      <c r="P88" s="24" t="str">
        <f aca="true">IF($B88="","",IF(AND($I88=설정!$A$11,$A88&lt;&gt;"",TODAY()-$A88&gt;=설정!$B$8),"지연!",""))</f>
        <v/>
      </c>
    </row>
    <row r="89" customFormat="false" ht="15" hidden="false" customHeight="false" outlineLevel="0" collapsed="false">
      <c r="A89" s="19"/>
      <c r="B89" s="20"/>
      <c r="C89" s="5"/>
      <c r="D89" s="5"/>
      <c r="E89" s="21"/>
      <c r="F89" s="22"/>
      <c r="G89" s="22"/>
      <c r="H89" s="22"/>
      <c r="I89" s="15"/>
      <c r="J89" s="19"/>
      <c r="K89" s="20"/>
      <c r="L89" s="20"/>
      <c r="M89" s="23" t="str">
        <f aca="false">IF($B89="","",$F89*$E89)</f>
        <v/>
      </c>
      <c r="N89" s="23" t="str">
        <f aca="false">IF($B89="","",$M89*(1-설정!$B$7))</f>
        <v/>
      </c>
      <c r="O89" s="23" t="str">
        <f aca="false">IF($B89="","",$N89-($G89*$E89+$H89))</f>
        <v/>
      </c>
      <c r="P89" s="24" t="str">
        <f aca="true">IF($B89="","",IF(AND($I89=설정!$A$11,$A89&lt;&gt;"",TODAY()-$A89&gt;=설정!$B$8),"지연!",""))</f>
        <v/>
      </c>
    </row>
    <row r="90" customFormat="false" ht="15" hidden="false" customHeight="false" outlineLevel="0" collapsed="false">
      <c r="A90" s="19"/>
      <c r="B90" s="20"/>
      <c r="C90" s="5"/>
      <c r="D90" s="5"/>
      <c r="E90" s="21"/>
      <c r="F90" s="22"/>
      <c r="G90" s="22"/>
      <c r="H90" s="22"/>
      <c r="I90" s="15"/>
      <c r="J90" s="19"/>
      <c r="K90" s="20"/>
      <c r="L90" s="20"/>
      <c r="M90" s="23" t="str">
        <f aca="false">IF($B90="","",$F90*$E90)</f>
        <v/>
      </c>
      <c r="N90" s="23" t="str">
        <f aca="false">IF($B90="","",$M90*(1-설정!$B$7))</f>
        <v/>
      </c>
      <c r="O90" s="23" t="str">
        <f aca="false">IF($B90="","",$N90-($G90*$E90+$H90))</f>
        <v/>
      </c>
      <c r="P90" s="24" t="str">
        <f aca="true">IF($B90="","",IF(AND($I90=설정!$A$11,$A90&lt;&gt;"",TODAY()-$A90&gt;=설정!$B$8),"지연!",""))</f>
        <v/>
      </c>
    </row>
    <row r="91" customFormat="false" ht="15" hidden="false" customHeight="false" outlineLevel="0" collapsed="false">
      <c r="A91" s="19"/>
      <c r="B91" s="20"/>
      <c r="C91" s="5"/>
      <c r="D91" s="5"/>
      <c r="E91" s="21"/>
      <c r="F91" s="22"/>
      <c r="G91" s="22"/>
      <c r="H91" s="22"/>
      <c r="I91" s="15"/>
      <c r="J91" s="19"/>
      <c r="K91" s="20"/>
      <c r="L91" s="20"/>
      <c r="M91" s="23" t="str">
        <f aca="false">IF($B91="","",$F91*$E91)</f>
        <v/>
      </c>
      <c r="N91" s="23" t="str">
        <f aca="false">IF($B91="","",$M91*(1-설정!$B$7))</f>
        <v/>
      </c>
      <c r="O91" s="23" t="str">
        <f aca="false">IF($B91="","",$N91-($G91*$E91+$H91))</f>
        <v/>
      </c>
      <c r="P91" s="24" t="str">
        <f aca="true">IF($B91="","",IF(AND($I91=설정!$A$11,$A91&lt;&gt;"",TODAY()-$A91&gt;=설정!$B$8),"지연!",""))</f>
        <v/>
      </c>
    </row>
    <row r="92" customFormat="false" ht="15" hidden="false" customHeight="false" outlineLevel="0" collapsed="false">
      <c r="A92" s="19"/>
      <c r="B92" s="20"/>
      <c r="C92" s="5"/>
      <c r="D92" s="5"/>
      <c r="E92" s="21"/>
      <c r="F92" s="22"/>
      <c r="G92" s="22"/>
      <c r="H92" s="22"/>
      <c r="I92" s="15"/>
      <c r="J92" s="19"/>
      <c r="K92" s="20"/>
      <c r="L92" s="20"/>
      <c r="M92" s="23" t="str">
        <f aca="false">IF($B92="","",$F92*$E92)</f>
        <v/>
      </c>
      <c r="N92" s="23" t="str">
        <f aca="false">IF($B92="","",$M92*(1-설정!$B$7))</f>
        <v/>
      </c>
      <c r="O92" s="23" t="str">
        <f aca="false">IF($B92="","",$N92-($G92*$E92+$H92))</f>
        <v/>
      </c>
      <c r="P92" s="24" t="str">
        <f aca="true">IF($B92="","",IF(AND($I92=설정!$A$11,$A92&lt;&gt;"",TODAY()-$A92&gt;=설정!$B$8),"지연!",""))</f>
        <v/>
      </c>
    </row>
    <row r="93" customFormat="false" ht="15" hidden="false" customHeight="false" outlineLevel="0" collapsed="false">
      <c r="A93" s="19"/>
      <c r="B93" s="20"/>
      <c r="C93" s="5"/>
      <c r="D93" s="5"/>
      <c r="E93" s="21"/>
      <c r="F93" s="22"/>
      <c r="G93" s="22"/>
      <c r="H93" s="22"/>
      <c r="I93" s="15"/>
      <c r="J93" s="19"/>
      <c r="K93" s="20"/>
      <c r="L93" s="20"/>
      <c r="M93" s="23" t="str">
        <f aca="false">IF($B93="","",$F93*$E93)</f>
        <v/>
      </c>
      <c r="N93" s="23" t="str">
        <f aca="false">IF($B93="","",$M93*(1-설정!$B$7))</f>
        <v/>
      </c>
      <c r="O93" s="23" t="str">
        <f aca="false">IF($B93="","",$N93-($G93*$E93+$H93))</f>
        <v/>
      </c>
      <c r="P93" s="24" t="str">
        <f aca="true">IF($B93="","",IF(AND($I93=설정!$A$11,$A93&lt;&gt;"",TODAY()-$A93&gt;=설정!$B$8),"지연!",""))</f>
        <v/>
      </c>
    </row>
    <row r="94" customFormat="false" ht="15" hidden="false" customHeight="false" outlineLevel="0" collapsed="false">
      <c r="A94" s="19"/>
      <c r="B94" s="20"/>
      <c r="C94" s="5"/>
      <c r="D94" s="5"/>
      <c r="E94" s="21"/>
      <c r="F94" s="22"/>
      <c r="G94" s="22"/>
      <c r="H94" s="22"/>
      <c r="I94" s="15"/>
      <c r="J94" s="19"/>
      <c r="K94" s="20"/>
      <c r="L94" s="20"/>
      <c r="M94" s="23" t="str">
        <f aca="false">IF($B94="","",$F94*$E94)</f>
        <v/>
      </c>
      <c r="N94" s="23" t="str">
        <f aca="false">IF($B94="","",$M94*(1-설정!$B$7))</f>
        <v/>
      </c>
      <c r="O94" s="23" t="str">
        <f aca="false">IF($B94="","",$N94-($G94*$E94+$H94))</f>
        <v/>
      </c>
      <c r="P94" s="24" t="str">
        <f aca="true">IF($B94="","",IF(AND($I94=설정!$A$11,$A94&lt;&gt;"",TODAY()-$A94&gt;=설정!$B$8),"지연!",""))</f>
        <v/>
      </c>
    </row>
    <row r="95" customFormat="false" ht="15" hidden="false" customHeight="false" outlineLevel="0" collapsed="false">
      <c r="A95" s="19"/>
      <c r="B95" s="20"/>
      <c r="C95" s="5"/>
      <c r="D95" s="5"/>
      <c r="E95" s="21"/>
      <c r="F95" s="22"/>
      <c r="G95" s="22"/>
      <c r="H95" s="22"/>
      <c r="I95" s="15"/>
      <c r="J95" s="19"/>
      <c r="K95" s="20"/>
      <c r="L95" s="20"/>
      <c r="M95" s="23" t="str">
        <f aca="false">IF($B95="","",$F95*$E95)</f>
        <v/>
      </c>
      <c r="N95" s="23" t="str">
        <f aca="false">IF($B95="","",$M95*(1-설정!$B$7))</f>
        <v/>
      </c>
      <c r="O95" s="23" t="str">
        <f aca="false">IF($B95="","",$N95-($G95*$E95+$H95))</f>
        <v/>
      </c>
      <c r="P95" s="24" t="str">
        <f aca="true">IF($B95="","",IF(AND($I95=설정!$A$11,$A95&lt;&gt;"",TODAY()-$A95&gt;=설정!$B$8),"지연!",""))</f>
        <v/>
      </c>
    </row>
    <row r="96" customFormat="false" ht="15" hidden="false" customHeight="false" outlineLevel="0" collapsed="false">
      <c r="A96" s="19"/>
      <c r="B96" s="20"/>
      <c r="C96" s="5"/>
      <c r="D96" s="5"/>
      <c r="E96" s="21"/>
      <c r="F96" s="22"/>
      <c r="G96" s="22"/>
      <c r="H96" s="22"/>
      <c r="I96" s="15"/>
      <c r="J96" s="19"/>
      <c r="K96" s="20"/>
      <c r="L96" s="20"/>
      <c r="M96" s="23" t="str">
        <f aca="false">IF($B96="","",$F96*$E96)</f>
        <v/>
      </c>
      <c r="N96" s="23" t="str">
        <f aca="false">IF($B96="","",$M96*(1-설정!$B$7))</f>
        <v/>
      </c>
      <c r="O96" s="23" t="str">
        <f aca="false">IF($B96="","",$N96-($G96*$E96+$H96))</f>
        <v/>
      </c>
      <c r="P96" s="24" t="str">
        <f aca="true">IF($B96="","",IF(AND($I96=설정!$A$11,$A96&lt;&gt;"",TODAY()-$A96&gt;=설정!$B$8),"지연!",""))</f>
        <v/>
      </c>
    </row>
    <row r="97" customFormat="false" ht="15" hidden="false" customHeight="false" outlineLevel="0" collapsed="false">
      <c r="A97" s="19"/>
      <c r="B97" s="20"/>
      <c r="C97" s="5"/>
      <c r="D97" s="5"/>
      <c r="E97" s="21"/>
      <c r="F97" s="22"/>
      <c r="G97" s="22"/>
      <c r="H97" s="22"/>
      <c r="I97" s="15"/>
      <c r="J97" s="19"/>
      <c r="K97" s="20"/>
      <c r="L97" s="20"/>
      <c r="M97" s="23" t="str">
        <f aca="false">IF($B97="","",$F97*$E97)</f>
        <v/>
      </c>
      <c r="N97" s="23" t="str">
        <f aca="false">IF($B97="","",$M97*(1-설정!$B$7))</f>
        <v/>
      </c>
      <c r="O97" s="23" t="str">
        <f aca="false">IF($B97="","",$N97-($G97*$E97+$H97))</f>
        <v/>
      </c>
      <c r="P97" s="24" t="str">
        <f aca="true">IF($B97="","",IF(AND($I97=설정!$A$11,$A97&lt;&gt;"",TODAY()-$A97&gt;=설정!$B$8),"지연!",""))</f>
        <v/>
      </c>
    </row>
    <row r="98" customFormat="false" ht="15" hidden="false" customHeight="false" outlineLevel="0" collapsed="false">
      <c r="A98" s="19"/>
      <c r="B98" s="20"/>
      <c r="C98" s="5"/>
      <c r="D98" s="5"/>
      <c r="E98" s="21"/>
      <c r="F98" s="22"/>
      <c r="G98" s="22"/>
      <c r="H98" s="22"/>
      <c r="I98" s="15"/>
      <c r="J98" s="19"/>
      <c r="K98" s="20"/>
      <c r="L98" s="20"/>
      <c r="M98" s="23" t="str">
        <f aca="false">IF($B98="","",$F98*$E98)</f>
        <v/>
      </c>
      <c r="N98" s="23" t="str">
        <f aca="false">IF($B98="","",$M98*(1-설정!$B$7))</f>
        <v/>
      </c>
      <c r="O98" s="23" t="str">
        <f aca="false">IF($B98="","",$N98-($G98*$E98+$H98))</f>
        <v/>
      </c>
      <c r="P98" s="24" t="str">
        <f aca="true">IF($B98="","",IF(AND($I98=설정!$A$11,$A98&lt;&gt;"",TODAY()-$A98&gt;=설정!$B$8),"지연!",""))</f>
        <v/>
      </c>
    </row>
    <row r="99" customFormat="false" ht="15" hidden="false" customHeight="false" outlineLevel="0" collapsed="false">
      <c r="A99" s="19"/>
      <c r="B99" s="20"/>
      <c r="C99" s="5"/>
      <c r="D99" s="5"/>
      <c r="E99" s="21"/>
      <c r="F99" s="22"/>
      <c r="G99" s="22"/>
      <c r="H99" s="22"/>
      <c r="I99" s="15"/>
      <c r="J99" s="19"/>
      <c r="K99" s="20"/>
      <c r="L99" s="20"/>
      <c r="M99" s="23" t="str">
        <f aca="false">IF($B99="","",$F99*$E99)</f>
        <v/>
      </c>
      <c r="N99" s="23" t="str">
        <f aca="false">IF($B99="","",$M99*(1-설정!$B$7))</f>
        <v/>
      </c>
      <c r="O99" s="23" t="str">
        <f aca="false">IF($B99="","",$N99-($G99*$E99+$H99))</f>
        <v/>
      </c>
      <c r="P99" s="24" t="str">
        <f aca="true">IF($B99="","",IF(AND($I99=설정!$A$11,$A99&lt;&gt;"",TODAY()-$A99&gt;=설정!$B$8),"지연!",""))</f>
        <v/>
      </c>
    </row>
    <row r="100" customFormat="false" ht="15" hidden="false" customHeight="false" outlineLevel="0" collapsed="false">
      <c r="A100" s="19"/>
      <c r="B100" s="20"/>
      <c r="C100" s="5"/>
      <c r="D100" s="5"/>
      <c r="E100" s="21"/>
      <c r="F100" s="22"/>
      <c r="G100" s="22"/>
      <c r="H100" s="22"/>
      <c r="I100" s="15"/>
      <c r="J100" s="19"/>
      <c r="K100" s="20"/>
      <c r="L100" s="20"/>
      <c r="M100" s="23" t="str">
        <f aca="false">IF($B100="","",$F100*$E100)</f>
        <v/>
      </c>
      <c r="N100" s="23" t="str">
        <f aca="false">IF($B100="","",$M100*(1-설정!$B$7))</f>
        <v/>
      </c>
      <c r="O100" s="23" t="str">
        <f aca="false">IF($B100="","",$N100-($G100*$E100+$H100))</f>
        <v/>
      </c>
      <c r="P100" s="24" t="str">
        <f aca="true">IF($B100="","",IF(AND($I100=설정!$A$11,$A100&lt;&gt;"",TODAY()-$A100&gt;=설정!$B$8),"지연!",""))</f>
        <v/>
      </c>
    </row>
    <row r="101" customFormat="false" ht="15" hidden="false" customHeight="false" outlineLevel="0" collapsed="false">
      <c r="A101" s="19"/>
      <c r="B101" s="20"/>
      <c r="C101" s="5"/>
      <c r="D101" s="5"/>
      <c r="E101" s="21"/>
      <c r="F101" s="22"/>
      <c r="G101" s="22"/>
      <c r="H101" s="22"/>
      <c r="I101" s="15"/>
      <c r="J101" s="19"/>
      <c r="K101" s="20"/>
      <c r="L101" s="20"/>
      <c r="M101" s="23" t="str">
        <f aca="false">IF($B101="","",$F101*$E101)</f>
        <v/>
      </c>
      <c r="N101" s="23" t="str">
        <f aca="false">IF($B101="","",$M101*(1-설정!$B$7))</f>
        <v/>
      </c>
      <c r="O101" s="23" t="str">
        <f aca="false">IF($B101="","",$N101-($G101*$E101+$H101))</f>
        <v/>
      </c>
      <c r="P101" s="24" t="str">
        <f aca="true">IF($B101="","",IF(AND($I101=설정!$A$11,$A101&lt;&gt;"",TODAY()-$A101&gt;=설정!$B$8),"지연!",""))</f>
        <v/>
      </c>
    </row>
    <row r="102" customFormat="false" ht="15" hidden="false" customHeight="false" outlineLevel="0" collapsed="false">
      <c r="A102" s="19"/>
      <c r="B102" s="20"/>
      <c r="C102" s="5"/>
      <c r="D102" s="5"/>
      <c r="E102" s="21"/>
      <c r="F102" s="22"/>
      <c r="G102" s="22"/>
      <c r="H102" s="22"/>
      <c r="I102" s="15"/>
      <c r="J102" s="19"/>
      <c r="K102" s="20"/>
      <c r="L102" s="20"/>
      <c r="M102" s="23" t="str">
        <f aca="false">IF($B102="","",$F102*$E102)</f>
        <v/>
      </c>
      <c r="N102" s="23" t="str">
        <f aca="false">IF($B102="","",$M102*(1-설정!$B$7))</f>
        <v/>
      </c>
      <c r="O102" s="23" t="str">
        <f aca="false">IF($B102="","",$N102-($G102*$E102+$H102))</f>
        <v/>
      </c>
      <c r="P102" s="24" t="str">
        <f aca="true">IF($B102="","",IF(AND($I102=설정!$A$11,$A102&lt;&gt;"",TODAY()-$A102&gt;=설정!$B$8),"지연!",""))</f>
        <v/>
      </c>
    </row>
    <row r="103" customFormat="false" ht="15" hidden="false" customHeight="false" outlineLevel="0" collapsed="false">
      <c r="A103" s="19"/>
      <c r="B103" s="20"/>
      <c r="C103" s="5"/>
      <c r="D103" s="5"/>
      <c r="E103" s="21"/>
      <c r="F103" s="22"/>
      <c r="G103" s="22"/>
      <c r="H103" s="22"/>
      <c r="I103" s="15"/>
      <c r="J103" s="19"/>
      <c r="K103" s="20"/>
      <c r="L103" s="20"/>
      <c r="M103" s="23" t="str">
        <f aca="false">IF($B103="","",$F103*$E103)</f>
        <v/>
      </c>
      <c r="N103" s="23" t="str">
        <f aca="false">IF($B103="","",$M103*(1-설정!$B$7))</f>
        <v/>
      </c>
      <c r="O103" s="23" t="str">
        <f aca="false">IF($B103="","",$N103-($G103*$E103+$H103))</f>
        <v/>
      </c>
      <c r="P103" s="24" t="str">
        <f aca="true">IF($B103="","",IF(AND($I103=설정!$A$11,$A103&lt;&gt;"",TODAY()-$A103&gt;=설정!$B$8),"지연!",""))</f>
        <v/>
      </c>
    </row>
    <row r="104" customFormat="false" ht="15" hidden="false" customHeight="false" outlineLevel="0" collapsed="false">
      <c r="A104" s="19"/>
      <c r="B104" s="20"/>
      <c r="C104" s="5"/>
      <c r="D104" s="5"/>
      <c r="E104" s="21"/>
      <c r="F104" s="22"/>
      <c r="G104" s="22"/>
      <c r="H104" s="22"/>
      <c r="I104" s="15"/>
      <c r="J104" s="19"/>
      <c r="K104" s="20"/>
      <c r="L104" s="20"/>
      <c r="M104" s="23" t="str">
        <f aca="false">IF($B104="","",$F104*$E104)</f>
        <v/>
      </c>
      <c r="N104" s="23" t="str">
        <f aca="false">IF($B104="","",$M104*(1-설정!$B$7))</f>
        <v/>
      </c>
      <c r="O104" s="23" t="str">
        <f aca="false">IF($B104="","",$N104-($G104*$E104+$H104))</f>
        <v/>
      </c>
      <c r="P104" s="24" t="str">
        <f aca="true">IF($B104="","",IF(AND($I104=설정!$A$11,$A104&lt;&gt;"",TODAY()-$A104&gt;=설정!$B$8),"지연!",""))</f>
        <v/>
      </c>
    </row>
    <row r="105" customFormat="false" ht="15" hidden="false" customHeight="false" outlineLevel="0" collapsed="false">
      <c r="A105" s="19"/>
      <c r="B105" s="20"/>
      <c r="C105" s="5"/>
      <c r="D105" s="5"/>
      <c r="E105" s="21"/>
      <c r="F105" s="22"/>
      <c r="G105" s="22"/>
      <c r="H105" s="22"/>
      <c r="I105" s="15"/>
      <c r="J105" s="19"/>
      <c r="K105" s="20"/>
      <c r="L105" s="20"/>
      <c r="M105" s="23" t="str">
        <f aca="false">IF($B105="","",$F105*$E105)</f>
        <v/>
      </c>
      <c r="N105" s="23" t="str">
        <f aca="false">IF($B105="","",$M105*(1-설정!$B$7))</f>
        <v/>
      </c>
      <c r="O105" s="23" t="str">
        <f aca="false">IF($B105="","",$N105-($G105*$E105+$H105))</f>
        <v/>
      </c>
      <c r="P105" s="24" t="str">
        <f aca="true">IF($B105="","",IF(AND($I105=설정!$A$11,$A105&lt;&gt;"",TODAY()-$A105&gt;=설정!$B$8),"지연!",""))</f>
        <v/>
      </c>
    </row>
    <row r="106" customFormat="false" ht="15" hidden="false" customHeight="false" outlineLevel="0" collapsed="false">
      <c r="A106" s="19"/>
      <c r="B106" s="20"/>
      <c r="C106" s="5"/>
      <c r="D106" s="5"/>
      <c r="E106" s="21"/>
      <c r="F106" s="22"/>
      <c r="G106" s="22"/>
      <c r="H106" s="22"/>
      <c r="I106" s="15"/>
      <c r="J106" s="19"/>
      <c r="K106" s="20"/>
      <c r="L106" s="20"/>
      <c r="M106" s="23" t="str">
        <f aca="false">IF($B106="","",$F106*$E106)</f>
        <v/>
      </c>
      <c r="N106" s="23" t="str">
        <f aca="false">IF($B106="","",$M106*(1-설정!$B$7))</f>
        <v/>
      </c>
      <c r="O106" s="23" t="str">
        <f aca="false">IF($B106="","",$N106-($G106*$E106+$H106))</f>
        <v/>
      </c>
      <c r="P106" s="24" t="str">
        <f aca="true">IF($B106="","",IF(AND($I106=설정!$A$11,$A106&lt;&gt;"",TODAY()-$A106&gt;=설정!$B$8),"지연!",""))</f>
        <v/>
      </c>
    </row>
    <row r="107" customFormat="false" ht="15" hidden="false" customHeight="false" outlineLevel="0" collapsed="false">
      <c r="A107" s="19"/>
      <c r="B107" s="20"/>
      <c r="C107" s="5"/>
      <c r="D107" s="5"/>
      <c r="E107" s="21"/>
      <c r="F107" s="22"/>
      <c r="G107" s="22"/>
      <c r="H107" s="22"/>
      <c r="I107" s="15"/>
      <c r="J107" s="19"/>
      <c r="K107" s="20"/>
      <c r="L107" s="20"/>
      <c r="M107" s="23" t="str">
        <f aca="false">IF($B107="","",$F107*$E107)</f>
        <v/>
      </c>
      <c r="N107" s="23" t="str">
        <f aca="false">IF($B107="","",$M107*(1-설정!$B$7))</f>
        <v/>
      </c>
      <c r="O107" s="23" t="str">
        <f aca="false">IF($B107="","",$N107-($G107*$E107+$H107))</f>
        <v/>
      </c>
      <c r="P107" s="24" t="str">
        <f aca="true">IF($B107="","",IF(AND($I107=설정!$A$11,$A107&lt;&gt;"",TODAY()-$A107&gt;=설정!$B$8),"지연!",""))</f>
        <v/>
      </c>
    </row>
    <row r="108" customFormat="false" ht="15" hidden="false" customHeight="false" outlineLevel="0" collapsed="false">
      <c r="A108" s="19"/>
      <c r="B108" s="20"/>
      <c r="C108" s="5"/>
      <c r="D108" s="5"/>
      <c r="E108" s="21"/>
      <c r="F108" s="22"/>
      <c r="G108" s="22"/>
      <c r="H108" s="22"/>
      <c r="I108" s="15"/>
      <c r="J108" s="19"/>
      <c r="K108" s="20"/>
      <c r="L108" s="20"/>
      <c r="M108" s="23" t="str">
        <f aca="false">IF($B108="","",$F108*$E108)</f>
        <v/>
      </c>
      <c r="N108" s="23" t="str">
        <f aca="false">IF($B108="","",$M108*(1-설정!$B$7))</f>
        <v/>
      </c>
      <c r="O108" s="23" t="str">
        <f aca="false">IF($B108="","",$N108-($G108*$E108+$H108))</f>
        <v/>
      </c>
      <c r="P108" s="24" t="str">
        <f aca="true">IF($B108="","",IF(AND($I108=설정!$A$11,$A108&lt;&gt;"",TODAY()-$A108&gt;=설정!$B$8),"지연!",""))</f>
        <v/>
      </c>
    </row>
    <row r="109" customFormat="false" ht="15" hidden="false" customHeight="false" outlineLevel="0" collapsed="false">
      <c r="A109" s="19"/>
      <c r="B109" s="20"/>
      <c r="C109" s="5"/>
      <c r="D109" s="5"/>
      <c r="E109" s="21"/>
      <c r="F109" s="22"/>
      <c r="G109" s="22"/>
      <c r="H109" s="22"/>
      <c r="I109" s="15"/>
      <c r="J109" s="19"/>
      <c r="K109" s="20"/>
      <c r="L109" s="20"/>
      <c r="M109" s="23" t="str">
        <f aca="false">IF($B109="","",$F109*$E109)</f>
        <v/>
      </c>
      <c r="N109" s="23" t="str">
        <f aca="false">IF($B109="","",$M109*(1-설정!$B$7))</f>
        <v/>
      </c>
      <c r="O109" s="23" t="str">
        <f aca="false">IF($B109="","",$N109-($G109*$E109+$H109))</f>
        <v/>
      </c>
      <c r="P109" s="24" t="str">
        <f aca="true">IF($B109="","",IF(AND($I109=설정!$A$11,$A109&lt;&gt;"",TODAY()-$A109&gt;=설정!$B$8),"지연!",""))</f>
        <v/>
      </c>
    </row>
    <row r="110" customFormat="false" ht="15" hidden="false" customHeight="false" outlineLevel="0" collapsed="false">
      <c r="A110" s="19"/>
      <c r="B110" s="20"/>
      <c r="C110" s="5"/>
      <c r="D110" s="5"/>
      <c r="E110" s="21"/>
      <c r="F110" s="22"/>
      <c r="G110" s="22"/>
      <c r="H110" s="22"/>
      <c r="I110" s="15"/>
      <c r="J110" s="19"/>
      <c r="K110" s="20"/>
      <c r="L110" s="20"/>
      <c r="M110" s="23" t="str">
        <f aca="false">IF($B110="","",$F110*$E110)</f>
        <v/>
      </c>
      <c r="N110" s="23" t="str">
        <f aca="false">IF($B110="","",$M110*(1-설정!$B$7))</f>
        <v/>
      </c>
      <c r="O110" s="23" t="str">
        <f aca="false">IF($B110="","",$N110-($G110*$E110+$H110))</f>
        <v/>
      </c>
      <c r="P110" s="24" t="str">
        <f aca="true">IF($B110="","",IF(AND($I110=설정!$A$11,$A110&lt;&gt;"",TODAY()-$A110&gt;=설정!$B$8),"지연!",""))</f>
        <v/>
      </c>
    </row>
    <row r="111" customFormat="false" ht="15" hidden="false" customHeight="false" outlineLevel="0" collapsed="false">
      <c r="A111" s="19"/>
      <c r="B111" s="20"/>
      <c r="C111" s="5"/>
      <c r="D111" s="5"/>
      <c r="E111" s="21"/>
      <c r="F111" s="22"/>
      <c r="G111" s="22"/>
      <c r="H111" s="22"/>
      <c r="I111" s="15"/>
      <c r="J111" s="19"/>
      <c r="K111" s="20"/>
      <c r="L111" s="20"/>
      <c r="M111" s="23" t="str">
        <f aca="false">IF($B111="","",$F111*$E111)</f>
        <v/>
      </c>
      <c r="N111" s="23" t="str">
        <f aca="false">IF($B111="","",$M111*(1-설정!$B$7))</f>
        <v/>
      </c>
      <c r="O111" s="23" t="str">
        <f aca="false">IF($B111="","",$N111-($G111*$E111+$H111))</f>
        <v/>
      </c>
      <c r="P111" s="24" t="str">
        <f aca="true">IF($B111="","",IF(AND($I111=설정!$A$11,$A111&lt;&gt;"",TODAY()-$A111&gt;=설정!$B$8),"지연!",""))</f>
        <v/>
      </c>
    </row>
    <row r="112" customFormat="false" ht="15" hidden="false" customHeight="false" outlineLevel="0" collapsed="false">
      <c r="A112" s="19"/>
      <c r="B112" s="20"/>
      <c r="C112" s="5"/>
      <c r="D112" s="5"/>
      <c r="E112" s="21"/>
      <c r="F112" s="22"/>
      <c r="G112" s="22"/>
      <c r="H112" s="22"/>
      <c r="I112" s="15"/>
      <c r="J112" s="19"/>
      <c r="K112" s="20"/>
      <c r="L112" s="20"/>
      <c r="M112" s="23" t="str">
        <f aca="false">IF($B112="","",$F112*$E112)</f>
        <v/>
      </c>
      <c r="N112" s="23" t="str">
        <f aca="false">IF($B112="","",$M112*(1-설정!$B$7))</f>
        <v/>
      </c>
      <c r="O112" s="23" t="str">
        <f aca="false">IF($B112="","",$N112-($G112*$E112+$H112))</f>
        <v/>
      </c>
      <c r="P112" s="24" t="str">
        <f aca="true">IF($B112="","",IF(AND($I112=설정!$A$11,$A112&lt;&gt;"",TODAY()-$A112&gt;=설정!$B$8),"지연!",""))</f>
        <v/>
      </c>
    </row>
    <row r="113" customFormat="false" ht="15" hidden="false" customHeight="false" outlineLevel="0" collapsed="false">
      <c r="A113" s="19"/>
      <c r="B113" s="20"/>
      <c r="C113" s="5"/>
      <c r="D113" s="5"/>
      <c r="E113" s="21"/>
      <c r="F113" s="22"/>
      <c r="G113" s="22"/>
      <c r="H113" s="22"/>
      <c r="I113" s="15"/>
      <c r="J113" s="19"/>
      <c r="K113" s="20"/>
      <c r="L113" s="20"/>
      <c r="M113" s="23" t="str">
        <f aca="false">IF($B113="","",$F113*$E113)</f>
        <v/>
      </c>
      <c r="N113" s="23" t="str">
        <f aca="false">IF($B113="","",$M113*(1-설정!$B$7))</f>
        <v/>
      </c>
      <c r="O113" s="23" t="str">
        <f aca="false">IF($B113="","",$N113-($G113*$E113+$H113))</f>
        <v/>
      </c>
      <c r="P113" s="24" t="str">
        <f aca="true">IF($B113="","",IF(AND($I113=설정!$A$11,$A113&lt;&gt;"",TODAY()-$A113&gt;=설정!$B$8),"지연!",""))</f>
        <v/>
      </c>
    </row>
    <row r="114" customFormat="false" ht="15" hidden="false" customHeight="false" outlineLevel="0" collapsed="false">
      <c r="A114" s="19"/>
      <c r="B114" s="20"/>
      <c r="C114" s="5"/>
      <c r="D114" s="5"/>
      <c r="E114" s="21"/>
      <c r="F114" s="22"/>
      <c r="G114" s="22"/>
      <c r="H114" s="22"/>
      <c r="I114" s="15"/>
      <c r="J114" s="19"/>
      <c r="K114" s="20"/>
      <c r="L114" s="20"/>
      <c r="M114" s="23" t="str">
        <f aca="false">IF($B114="","",$F114*$E114)</f>
        <v/>
      </c>
      <c r="N114" s="23" t="str">
        <f aca="false">IF($B114="","",$M114*(1-설정!$B$7))</f>
        <v/>
      </c>
      <c r="O114" s="23" t="str">
        <f aca="false">IF($B114="","",$N114-($G114*$E114+$H114))</f>
        <v/>
      </c>
      <c r="P114" s="24" t="str">
        <f aca="true">IF($B114="","",IF(AND($I114=설정!$A$11,$A114&lt;&gt;"",TODAY()-$A114&gt;=설정!$B$8),"지연!",""))</f>
        <v/>
      </c>
    </row>
    <row r="115" customFormat="false" ht="15" hidden="false" customHeight="false" outlineLevel="0" collapsed="false">
      <c r="A115" s="19"/>
      <c r="B115" s="20"/>
      <c r="C115" s="5"/>
      <c r="D115" s="5"/>
      <c r="E115" s="21"/>
      <c r="F115" s="22"/>
      <c r="G115" s="22"/>
      <c r="H115" s="22"/>
      <c r="I115" s="15"/>
      <c r="J115" s="19"/>
      <c r="K115" s="20"/>
      <c r="L115" s="20"/>
      <c r="M115" s="23" t="str">
        <f aca="false">IF($B115="","",$F115*$E115)</f>
        <v/>
      </c>
      <c r="N115" s="23" t="str">
        <f aca="false">IF($B115="","",$M115*(1-설정!$B$7))</f>
        <v/>
      </c>
      <c r="O115" s="23" t="str">
        <f aca="false">IF($B115="","",$N115-($G115*$E115+$H115))</f>
        <v/>
      </c>
      <c r="P115" s="24" t="str">
        <f aca="true">IF($B115="","",IF(AND($I115=설정!$A$11,$A115&lt;&gt;"",TODAY()-$A115&gt;=설정!$B$8),"지연!",""))</f>
        <v/>
      </c>
    </row>
    <row r="116" customFormat="false" ht="15" hidden="false" customHeight="false" outlineLevel="0" collapsed="false">
      <c r="A116" s="19"/>
      <c r="B116" s="20"/>
      <c r="C116" s="5"/>
      <c r="D116" s="5"/>
      <c r="E116" s="21"/>
      <c r="F116" s="22"/>
      <c r="G116" s="22"/>
      <c r="H116" s="22"/>
      <c r="I116" s="15"/>
      <c r="J116" s="19"/>
      <c r="K116" s="20"/>
      <c r="L116" s="20"/>
      <c r="M116" s="23" t="str">
        <f aca="false">IF($B116="","",$F116*$E116)</f>
        <v/>
      </c>
      <c r="N116" s="23" t="str">
        <f aca="false">IF($B116="","",$M116*(1-설정!$B$7))</f>
        <v/>
      </c>
      <c r="O116" s="23" t="str">
        <f aca="false">IF($B116="","",$N116-($G116*$E116+$H116))</f>
        <v/>
      </c>
      <c r="P116" s="24" t="str">
        <f aca="true">IF($B116="","",IF(AND($I116=설정!$A$11,$A116&lt;&gt;"",TODAY()-$A116&gt;=설정!$B$8),"지연!",""))</f>
        <v/>
      </c>
    </row>
    <row r="117" customFormat="false" ht="15" hidden="false" customHeight="false" outlineLevel="0" collapsed="false">
      <c r="A117" s="19"/>
      <c r="B117" s="20"/>
      <c r="C117" s="5"/>
      <c r="D117" s="5"/>
      <c r="E117" s="21"/>
      <c r="F117" s="22"/>
      <c r="G117" s="22"/>
      <c r="H117" s="22"/>
      <c r="I117" s="15"/>
      <c r="J117" s="19"/>
      <c r="K117" s="20"/>
      <c r="L117" s="20"/>
      <c r="M117" s="23" t="str">
        <f aca="false">IF($B117="","",$F117*$E117)</f>
        <v/>
      </c>
      <c r="N117" s="23" t="str">
        <f aca="false">IF($B117="","",$M117*(1-설정!$B$7))</f>
        <v/>
      </c>
      <c r="O117" s="23" t="str">
        <f aca="false">IF($B117="","",$N117-($G117*$E117+$H117))</f>
        <v/>
      </c>
      <c r="P117" s="24" t="str">
        <f aca="true">IF($B117="","",IF(AND($I117=설정!$A$11,$A117&lt;&gt;"",TODAY()-$A117&gt;=설정!$B$8),"지연!",""))</f>
        <v/>
      </c>
    </row>
    <row r="118" customFormat="false" ht="15" hidden="false" customHeight="false" outlineLevel="0" collapsed="false">
      <c r="A118" s="19"/>
      <c r="B118" s="20"/>
      <c r="C118" s="5"/>
      <c r="D118" s="5"/>
      <c r="E118" s="21"/>
      <c r="F118" s="22"/>
      <c r="G118" s="22"/>
      <c r="H118" s="22"/>
      <c r="I118" s="15"/>
      <c r="J118" s="19"/>
      <c r="K118" s="20"/>
      <c r="L118" s="20"/>
      <c r="M118" s="23" t="str">
        <f aca="false">IF($B118="","",$F118*$E118)</f>
        <v/>
      </c>
      <c r="N118" s="23" t="str">
        <f aca="false">IF($B118="","",$M118*(1-설정!$B$7))</f>
        <v/>
      </c>
      <c r="O118" s="23" t="str">
        <f aca="false">IF($B118="","",$N118-($G118*$E118+$H118))</f>
        <v/>
      </c>
      <c r="P118" s="24" t="str">
        <f aca="true">IF($B118="","",IF(AND($I118=설정!$A$11,$A118&lt;&gt;"",TODAY()-$A118&gt;=설정!$B$8),"지연!",""))</f>
        <v/>
      </c>
    </row>
    <row r="119" customFormat="false" ht="15" hidden="false" customHeight="false" outlineLevel="0" collapsed="false">
      <c r="A119" s="19"/>
      <c r="B119" s="20"/>
      <c r="C119" s="5"/>
      <c r="D119" s="5"/>
      <c r="E119" s="21"/>
      <c r="F119" s="22"/>
      <c r="G119" s="22"/>
      <c r="H119" s="22"/>
      <c r="I119" s="15"/>
      <c r="J119" s="19"/>
      <c r="K119" s="20"/>
      <c r="L119" s="20"/>
      <c r="M119" s="23" t="str">
        <f aca="false">IF($B119="","",$F119*$E119)</f>
        <v/>
      </c>
      <c r="N119" s="23" t="str">
        <f aca="false">IF($B119="","",$M119*(1-설정!$B$7))</f>
        <v/>
      </c>
      <c r="O119" s="23" t="str">
        <f aca="false">IF($B119="","",$N119-($G119*$E119+$H119))</f>
        <v/>
      </c>
      <c r="P119" s="24" t="str">
        <f aca="true">IF($B119="","",IF(AND($I119=설정!$A$11,$A119&lt;&gt;"",TODAY()-$A119&gt;=설정!$B$8),"지연!",""))</f>
        <v/>
      </c>
    </row>
    <row r="120" customFormat="false" ht="15" hidden="false" customHeight="false" outlineLevel="0" collapsed="false">
      <c r="A120" s="19"/>
      <c r="B120" s="20"/>
      <c r="C120" s="5"/>
      <c r="D120" s="5"/>
      <c r="E120" s="21"/>
      <c r="F120" s="22"/>
      <c r="G120" s="22"/>
      <c r="H120" s="22"/>
      <c r="I120" s="15"/>
      <c r="J120" s="19"/>
      <c r="K120" s="20"/>
      <c r="L120" s="20"/>
      <c r="M120" s="23" t="str">
        <f aca="false">IF($B120="","",$F120*$E120)</f>
        <v/>
      </c>
      <c r="N120" s="23" t="str">
        <f aca="false">IF($B120="","",$M120*(1-설정!$B$7))</f>
        <v/>
      </c>
      <c r="O120" s="23" t="str">
        <f aca="false">IF($B120="","",$N120-($G120*$E120+$H120))</f>
        <v/>
      </c>
      <c r="P120" s="24" t="str">
        <f aca="true">IF($B120="","",IF(AND($I120=설정!$A$11,$A120&lt;&gt;"",TODAY()-$A120&gt;=설정!$B$8),"지연!",""))</f>
        <v/>
      </c>
    </row>
    <row r="121" customFormat="false" ht="15" hidden="false" customHeight="false" outlineLevel="0" collapsed="false">
      <c r="A121" s="19"/>
      <c r="B121" s="20"/>
      <c r="C121" s="5"/>
      <c r="D121" s="5"/>
      <c r="E121" s="21"/>
      <c r="F121" s="22"/>
      <c r="G121" s="22"/>
      <c r="H121" s="22"/>
      <c r="I121" s="15"/>
      <c r="J121" s="19"/>
      <c r="K121" s="20"/>
      <c r="L121" s="20"/>
      <c r="M121" s="23" t="str">
        <f aca="false">IF($B121="","",$F121*$E121)</f>
        <v/>
      </c>
      <c r="N121" s="23" t="str">
        <f aca="false">IF($B121="","",$M121*(1-설정!$B$7))</f>
        <v/>
      </c>
      <c r="O121" s="23" t="str">
        <f aca="false">IF($B121="","",$N121-($G121*$E121+$H121))</f>
        <v/>
      </c>
      <c r="P121" s="24" t="str">
        <f aca="true">IF($B121="","",IF(AND($I121=설정!$A$11,$A121&lt;&gt;"",TODAY()-$A121&gt;=설정!$B$8),"지연!",""))</f>
        <v/>
      </c>
    </row>
    <row r="122" customFormat="false" ht="15" hidden="false" customHeight="false" outlineLevel="0" collapsed="false">
      <c r="A122" s="19"/>
      <c r="B122" s="20"/>
      <c r="C122" s="5"/>
      <c r="D122" s="5"/>
      <c r="E122" s="21"/>
      <c r="F122" s="22"/>
      <c r="G122" s="22"/>
      <c r="H122" s="22"/>
      <c r="I122" s="15"/>
      <c r="J122" s="19"/>
      <c r="K122" s="20"/>
      <c r="L122" s="20"/>
      <c r="M122" s="23" t="str">
        <f aca="false">IF($B122="","",$F122*$E122)</f>
        <v/>
      </c>
      <c r="N122" s="23" t="str">
        <f aca="false">IF($B122="","",$M122*(1-설정!$B$7))</f>
        <v/>
      </c>
      <c r="O122" s="23" t="str">
        <f aca="false">IF($B122="","",$N122-($G122*$E122+$H122))</f>
        <v/>
      </c>
      <c r="P122" s="24" t="str">
        <f aca="true">IF($B122="","",IF(AND($I122=설정!$A$11,$A122&lt;&gt;"",TODAY()-$A122&gt;=설정!$B$8),"지연!",""))</f>
        <v/>
      </c>
    </row>
    <row r="123" customFormat="false" ht="15" hidden="false" customHeight="false" outlineLevel="0" collapsed="false">
      <c r="A123" s="19"/>
      <c r="B123" s="20"/>
      <c r="C123" s="5"/>
      <c r="D123" s="5"/>
      <c r="E123" s="21"/>
      <c r="F123" s="22"/>
      <c r="G123" s="22"/>
      <c r="H123" s="22"/>
      <c r="I123" s="15"/>
      <c r="J123" s="19"/>
      <c r="K123" s="20"/>
      <c r="L123" s="20"/>
      <c r="M123" s="23" t="str">
        <f aca="false">IF($B123="","",$F123*$E123)</f>
        <v/>
      </c>
      <c r="N123" s="23" t="str">
        <f aca="false">IF($B123="","",$M123*(1-설정!$B$7))</f>
        <v/>
      </c>
      <c r="O123" s="23" t="str">
        <f aca="false">IF($B123="","",$N123-($G123*$E123+$H123))</f>
        <v/>
      </c>
      <c r="P123" s="24" t="str">
        <f aca="true">IF($B123="","",IF(AND($I123=설정!$A$11,$A123&lt;&gt;"",TODAY()-$A123&gt;=설정!$B$8),"지연!",""))</f>
        <v/>
      </c>
    </row>
    <row r="124" customFormat="false" ht="15" hidden="false" customHeight="false" outlineLevel="0" collapsed="false">
      <c r="A124" s="19"/>
      <c r="B124" s="20"/>
      <c r="C124" s="5"/>
      <c r="D124" s="5"/>
      <c r="E124" s="21"/>
      <c r="F124" s="22"/>
      <c r="G124" s="22"/>
      <c r="H124" s="22"/>
      <c r="I124" s="15"/>
      <c r="J124" s="19"/>
      <c r="K124" s="20"/>
      <c r="L124" s="20"/>
      <c r="M124" s="23" t="str">
        <f aca="false">IF($B124="","",$F124*$E124)</f>
        <v/>
      </c>
      <c r="N124" s="23" t="str">
        <f aca="false">IF($B124="","",$M124*(1-설정!$B$7))</f>
        <v/>
      </c>
      <c r="O124" s="23" t="str">
        <f aca="false">IF($B124="","",$N124-($G124*$E124+$H124))</f>
        <v/>
      </c>
      <c r="P124" s="24" t="str">
        <f aca="true">IF($B124="","",IF(AND($I124=설정!$A$11,$A124&lt;&gt;"",TODAY()-$A124&gt;=설정!$B$8),"지연!",""))</f>
        <v/>
      </c>
    </row>
    <row r="125" customFormat="false" ht="15" hidden="false" customHeight="false" outlineLevel="0" collapsed="false">
      <c r="A125" s="19"/>
      <c r="B125" s="20"/>
      <c r="C125" s="5"/>
      <c r="D125" s="5"/>
      <c r="E125" s="21"/>
      <c r="F125" s="22"/>
      <c r="G125" s="22"/>
      <c r="H125" s="22"/>
      <c r="I125" s="15"/>
      <c r="J125" s="19"/>
      <c r="K125" s="20"/>
      <c r="L125" s="20"/>
      <c r="M125" s="23" t="str">
        <f aca="false">IF($B125="","",$F125*$E125)</f>
        <v/>
      </c>
      <c r="N125" s="23" t="str">
        <f aca="false">IF($B125="","",$M125*(1-설정!$B$7))</f>
        <v/>
      </c>
      <c r="O125" s="23" t="str">
        <f aca="false">IF($B125="","",$N125-($G125*$E125+$H125))</f>
        <v/>
      </c>
      <c r="P125" s="24" t="str">
        <f aca="true">IF($B125="","",IF(AND($I125=설정!$A$11,$A125&lt;&gt;"",TODAY()-$A125&gt;=설정!$B$8),"지연!",""))</f>
        <v/>
      </c>
    </row>
    <row r="126" customFormat="false" ht="15" hidden="false" customHeight="false" outlineLevel="0" collapsed="false">
      <c r="A126" s="19"/>
      <c r="B126" s="20"/>
      <c r="C126" s="5"/>
      <c r="D126" s="5"/>
      <c r="E126" s="21"/>
      <c r="F126" s="22"/>
      <c r="G126" s="22"/>
      <c r="H126" s="22"/>
      <c r="I126" s="15"/>
      <c r="J126" s="19"/>
      <c r="K126" s="20"/>
      <c r="L126" s="20"/>
      <c r="M126" s="23" t="str">
        <f aca="false">IF($B126="","",$F126*$E126)</f>
        <v/>
      </c>
      <c r="N126" s="23" t="str">
        <f aca="false">IF($B126="","",$M126*(1-설정!$B$7))</f>
        <v/>
      </c>
      <c r="O126" s="23" t="str">
        <f aca="false">IF($B126="","",$N126-($G126*$E126+$H126))</f>
        <v/>
      </c>
      <c r="P126" s="24" t="str">
        <f aca="true">IF($B126="","",IF(AND($I126=설정!$A$11,$A126&lt;&gt;"",TODAY()-$A126&gt;=설정!$B$8),"지연!",""))</f>
        <v/>
      </c>
    </row>
    <row r="127" customFormat="false" ht="15" hidden="false" customHeight="false" outlineLevel="0" collapsed="false">
      <c r="A127" s="19"/>
      <c r="B127" s="20"/>
      <c r="C127" s="5"/>
      <c r="D127" s="5"/>
      <c r="E127" s="21"/>
      <c r="F127" s="22"/>
      <c r="G127" s="22"/>
      <c r="H127" s="22"/>
      <c r="I127" s="15"/>
      <c r="J127" s="19"/>
      <c r="K127" s="20"/>
      <c r="L127" s="20"/>
      <c r="M127" s="23" t="str">
        <f aca="false">IF($B127="","",$F127*$E127)</f>
        <v/>
      </c>
      <c r="N127" s="23" t="str">
        <f aca="false">IF($B127="","",$M127*(1-설정!$B$7))</f>
        <v/>
      </c>
      <c r="O127" s="23" t="str">
        <f aca="false">IF($B127="","",$N127-($G127*$E127+$H127))</f>
        <v/>
      </c>
      <c r="P127" s="24" t="str">
        <f aca="true">IF($B127="","",IF(AND($I127=설정!$A$11,$A127&lt;&gt;"",TODAY()-$A127&gt;=설정!$B$8),"지연!",""))</f>
        <v/>
      </c>
    </row>
    <row r="128" customFormat="false" ht="15" hidden="false" customHeight="false" outlineLevel="0" collapsed="false">
      <c r="A128" s="19"/>
      <c r="B128" s="20"/>
      <c r="C128" s="5"/>
      <c r="D128" s="5"/>
      <c r="E128" s="21"/>
      <c r="F128" s="22"/>
      <c r="G128" s="22"/>
      <c r="H128" s="22"/>
      <c r="I128" s="15"/>
      <c r="J128" s="19"/>
      <c r="K128" s="20"/>
      <c r="L128" s="20"/>
      <c r="M128" s="23" t="str">
        <f aca="false">IF($B128="","",$F128*$E128)</f>
        <v/>
      </c>
      <c r="N128" s="23" t="str">
        <f aca="false">IF($B128="","",$M128*(1-설정!$B$7))</f>
        <v/>
      </c>
      <c r="O128" s="23" t="str">
        <f aca="false">IF($B128="","",$N128-($G128*$E128+$H128))</f>
        <v/>
      </c>
      <c r="P128" s="24" t="str">
        <f aca="true">IF($B128="","",IF(AND($I128=설정!$A$11,$A128&lt;&gt;"",TODAY()-$A128&gt;=설정!$B$8),"지연!",""))</f>
        <v/>
      </c>
    </row>
    <row r="129" customFormat="false" ht="15" hidden="false" customHeight="false" outlineLevel="0" collapsed="false">
      <c r="A129" s="19"/>
      <c r="B129" s="20"/>
      <c r="C129" s="5"/>
      <c r="D129" s="5"/>
      <c r="E129" s="21"/>
      <c r="F129" s="22"/>
      <c r="G129" s="22"/>
      <c r="H129" s="22"/>
      <c r="I129" s="15"/>
      <c r="J129" s="19"/>
      <c r="K129" s="20"/>
      <c r="L129" s="20"/>
      <c r="M129" s="23" t="str">
        <f aca="false">IF($B129="","",$F129*$E129)</f>
        <v/>
      </c>
      <c r="N129" s="23" t="str">
        <f aca="false">IF($B129="","",$M129*(1-설정!$B$7))</f>
        <v/>
      </c>
      <c r="O129" s="23" t="str">
        <f aca="false">IF($B129="","",$N129-($G129*$E129+$H129))</f>
        <v/>
      </c>
      <c r="P129" s="24" t="str">
        <f aca="true">IF($B129="","",IF(AND($I129=설정!$A$11,$A129&lt;&gt;"",TODAY()-$A129&gt;=설정!$B$8),"지연!",""))</f>
        <v/>
      </c>
    </row>
    <row r="130" customFormat="false" ht="15" hidden="false" customHeight="false" outlineLevel="0" collapsed="false">
      <c r="A130" s="19"/>
      <c r="B130" s="20"/>
      <c r="C130" s="5"/>
      <c r="D130" s="5"/>
      <c r="E130" s="21"/>
      <c r="F130" s="22"/>
      <c r="G130" s="22"/>
      <c r="H130" s="22"/>
      <c r="I130" s="15"/>
      <c r="J130" s="19"/>
      <c r="K130" s="20"/>
      <c r="L130" s="20"/>
      <c r="M130" s="23" t="str">
        <f aca="false">IF($B130="","",$F130*$E130)</f>
        <v/>
      </c>
      <c r="N130" s="23" t="str">
        <f aca="false">IF($B130="","",$M130*(1-설정!$B$7))</f>
        <v/>
      </c>
      <c r="O130" s="23" t="str">
        <f aca="false">IF($B130="","",$N130-($G130*$E130+$H130))</f>
        <v/>
      </c>
      <c r="P130" s="24" t="str">
        <f aca="true">IF($B130="","",IF(AND($I130=설정!$A$11,$A130&lt;&gt;"",TODAY()-$A130&gt;=설정!$B$8),"지연!",""))</f>
        <v/>
      </c>
    </row>
    <row r="131" customFormat="false" ht="15" hidden="false" customHeight="false" outlineLevel="0" collapsed="false">
      <c r="A131" s="19"/>
      <c r="B131" s="20"/>
      <c r="C131" s="5"/>
      <c r="D131" s="5"/>
      <c r="E131" s="21"/>
      <c r="F131" s="22"/>
      <c r="G131" s="22"/>
      <c r="H131" s="22"/>
      <c r="I131" s="15"/>
      <c r="J131" s="19"/>
      <c r="K131" s="20"/>
      <c r="L131" s="20"/>
      <c r="M131" s="23" t="str">
        <f aca="false">IF($B131="","",$F131*$E131)</f>
        <v/>
      </c>
      <c r="N131" s="23" t="str">
        <f aca="false">IF($B131="","",$M131*(1-설정!$B$7))</f>
        <v/>
      </c>
      <c r="O131" s="23" t="str">
        <f aca="false">IF($B131="","",$N131-($G131*$E131+$H131))</f>
        <v/>
      </c>
      <c r="P131" s="24" t="str">
        <f aca="true">IF($B131="","",IF(AND($I131=설정!$A$11,$A131&lt;&gt;"",TODAY()-$A131&gt;=설정!$B$8),"지연!",""))</f>
        <v/>
      </c>
    </row>
    <row r="132" customFormat="false" ht="15" hidden="false" customHeight="false" outlineLevel="0" collapsed="false">
      <c r="A132" s="19"/>
      <c r="B132" s="20"/>
      <c r="C132" s="5"/>
      <c r="D132" s="5"/>
      <c r="E132" s="21"/>
      <c r="F132" s="22"/>
      <c r="G132" s="22"/>
      <c r="H132" s="22"/>
      <c r="I132" s="15"/>
      <c r="J132" s="19"/>
      <c r="K132" s="20"/>
      <c r="L132" s="20"/>
      <c r="M132" s="23" t="str">
        <f aca="false">IF($B132="","",$F132*$E132)</f>
        <v/>
      </c>
      <c r="N132" s="23" t="str">
        <f aca="false">IF($B132="","",$M132*(1-설정!$B$7))</f>
        <v/>
      </c>
      <c r="O132" s="23" t="str">
        <f aca="false">IF($B132="","",$N132-($G132*$E132+$H132))</f>
        <v/>
      </c>
      <c r="P132" s="24" t="str">
        <f aca="true">IF($B132="","",IF(AND($I132=설정!$A$11,$A132&lt;&gt;"",TODAY()-$A132&gt;=설정!$B$8),"지연!",""))</f>
        <v/>
      </c>
    </row>
    <row r="133" customFormat="false" ht="15" hidden="false" customHeight="false" outlineLevel="0" collapsed="false">
      <c r="A133" s="19"/>
      <c r="B133" s="20"/>
      <c r="C133" s="5"/>
      <c r="D133" s="5"/>
      <c r="E133" s="21"/>
      <c r="F133" s="22"/>
      <c r="G133" s="22"/>
      <c r="H133" s="22"/>
      <c r="I133" s="15"/>
      <c r="J133" s="19"/>
      <c r="K133" s="20"/>
      <c r="L133" s="20"/>
      <c r="M133" s="23" t="str">
        <f aca="false">IF($B133="","",$F133*$E133)</f>
        <v/>
      </c>
      <c r="N133" s="23" t="str">
        <f aca="false">IF($B133="","",$M133*(1-설정!$B$7))</f>
        <v/>
      </c>
      <c r="O133" s="23" t="str">
        <f aca="false">IF($B133="","",$N133-($G133*$E133+$H133))</f>
        <v/>
      </c>
      <c r="P133" s="24" t="str">
        <f aca="true">IF($B133="","",IF(AND($I133=설정!$A$11,$A133&lt;&gt;"",TODAY()-$A133&gt;=설정!$B$8),"지연!",""))</f>
        <v/>
      </c>
    </row>
    <row r="134" customFormat="false" ht="15" hidden="false" customHeight="false" outlineLevel="0" collapsed="false">
      <c r="A134" s="19"/>
      <c r="B134" s="20"/>
      <c r="C134" s="5"/>
      <c r="D134" s="5"/>
      <c r="E134" s="21"/>
      <c r="F134" s="22"/>
      <c r="G134" s="22"/>
      <c r="H134" s="22"/>
      <c r="I134" s="15"/>
      <c r="J134" s="19"/>
      <c r="K134" s="20"/>
      <c r="L134" s="20"/>
      <c r="M134" s="23" t="str">
        <f aca="false">IF($B134="","",$F134*$E134)</f>
        <v/>
      </c>
      <c r="N134" s="23" t="str">
        <f aca="false">IF($B134="","",$M134*(1-설정!$B$7))</f>
        <v/>
      </c>
      <c r="O134" s="23" t="str">
        <f aca="false">IF($B134="","",$N134-($G134*$E134+$H134))</f>
        <v/>
      </c>
      <c r="P134" s="24" t="str">
        <f aca="true">IF($B134="","",IF(AND($I134=설정!$A$11,$A134&lt;&gt;"",TODAY()-$A134&gt;=설정!$B$8),"지연!",""))</f>
        <v/>
      </c>
    </row>
    <row r="135" customFormat="false" ht="15" hidden="false" customHeight="false" outlineLevel="0" collapsed="false">
      <c r="A135" s="19"/>
      <c r="B135" s="20"/>
      <c r="C135" s="5"/>
      <c r="D135" s="5"/>
      <c r="E135" s="21"/>
      <c r="F135" s="22"/>
      <c r="G135" s="22"/>
      <c r="H135" s="22"/>
      <c r="I135" s="15"/>
      <c r="J135" s="19"/>
      <c r="K135" s="20"/>
      <c r="L135" s="20"/>
      <c r="M135" s="23" t="str">
        <f aca="false">IF($B135="","",$F135*$E135)</f>
        <v/>
      </c>
      <c r="N135" s="23" t="str">
        <f aca="false">IF($B135="","",$M135*(1-설정!$B$7))</f>
        <v/>
      </c>
      <c r="O135" s="23" t="str">
        <f aca="false">IF($B135="","",$N135-($G135*$E135+$H135))</f>
        <v/>
      </c>
      <c r="P135" s="24" t="str">
        <f aca="true">IF($B135="","",IF(AND($I135=설정!$A$11,$A135&lt;&gt;"",TODAY()-$A135&gt;=설정!$B$8),"지연!",""))</f>
        <v/>
      </c>
    </row>
    <row r="136" customFormat="false" ht="15" hidden="false" customHeight="false" outlineLevel="0" collapsed="false">
      <c r="A136" s="19"/>
      <c r="B136" s="20"/>
      <c r="C136" s="5"/>
      <c r="D136" s="5"/>
      <c r="E136" s="21"/>
      <c r="F136" s="22"/>
      <c r="G136" s="22"/>
      <c r="H136" s="22"/>
      <c r="I136" s="15"/>
      <c r="J136" s="19"/>
      <c r="K136" s="20"/>
      <c r="L136" s="20"/>
      <c r="M136" s="23" t="str">
        <f aca="false">IF($B136="","",$F136*$E136)</f>
        <v/>
      </c>
      <c r="N136" s="23" t="str">
        <f aca="false">IF($B136="","",$M136*(1-설정!$B$7))</f>
        <v/>
      </c>
      <c r="O136" s="23" t="str">
        <f aca="false">IF($B136="","",$N136-($G136*$E136+$H136))</f>
        <v/>
      </c>
      <c r="P136" s="24" t="str">
        <f aca="true">IF($B136="","",IF(AND($I136=설정!$A$11,$A136&lt;&gt;"",TODAY()-$A136&gt;=설정!$B$8),"지연!",""))</f>
        <v/>
      </c>
    </row>
    <row r="137" customFormat="false" ht="15" hidden="false" customHeight="false" outlineLevel="0" collapsed="false">
      <c r="A137" s="19"/>
      <c r="B137" s="20"/>
      <c r="C137" s="5"/>
      <c r="D137" s="5"/>
      <c r="E137" s="21"/>
      <c r="F137" s="22"/>
      <c r="G137" s="22"/>
      <c r="H137" s="22"/>
      <c r="I137" s="15"/>
      <c r="J137" s="19"/>
      <c r="K137" s="20"/>
      <c r="L137" s="20"/>
      <c r="M137" s="23" t="str">
        <f aca="false">IF($B137="","",$F137*$E137)</f>
        <v/>
      </c>
      <c r="N137" s="23" t="str">
        <f aca="false">IF($B137="","",$M137*(1-설정!$B$7))</f>
        <v/>
      </c>
      <c r="O137" s="23" t="str">
        <f aca="false">IF($B137="","",$N137-($G137*$E137+$H137))</f>
        <v/>
      </c>
      <c r="P137" s="24" t="str">
        <f aca="true">IF($B137="","",IF(AND($I137=설정!$A$11,$A137&lt;&gt;"",TODAY()-$A137&gt;=설정!$B$8),"지연!",""))</f>
        <v/>
      </c>
    </row>
    <row r="138" customFormat="false" ht="15" hidden="false" customHeight="false" outlineLevel="0" collapsed="false">
      <c r="A138" s="19"/>
      <c r="B138" s="20"/>
      <c r="C138" s="5"/>
      <c r="D138" s="5"/>
      <c r="E138" s="21"/>
      <c r="F138" s="22"/>
      <c r="G138" s="22"/>
      <c r="H138" s="22"/>
      <c r="I138" s="15"/>
      <c r="J138" s="19"/>
      <c r="K138" s="20"/>
      <c r="L138" s="20"/>
      <c r="M138" s="23" t="str">
        <f aca="false">IF($B138="","",$F138*$E138)</f>
        <v/>
      </c>
      <c r="N138" s="23" t="str">
        <f aca="false">IF($B138="","",$M138*(1-설정!$B$7))</f>
        <v/>
      </c>
      <c r="O138" s="23" t="str">
        <f aca="false">IF($B138="","",$N138-($G138*$E138+$H138))</f>
        <v/>
      </c>
      <c r="P138" s="24" t="str">
        <f aca="true">IF($B138="","",IF(AND($I138=설정!$A$11,$A138&lt;&gt;"",TODAY()-$A138&gt;=설정!$B$8),"지연!",""))</f>
        <v/>
      </c>
    </row>
    <row r="139" customFormat="false" ht="15" hidden="false" customHeight="false" outlineLevel="0" collapsed="false">
      <c r="A139" s="19"/>
      <c r="B139" s="20"/>
      <c r="C139" s="5"/>
      <c r="D139" s="5"/>
      <c r="E139" s="21"/>
      <c r="F139" s="22"/>
      <c r="G139" s="22"/>
      <c r="H139" s="22"/>
      <c r="I139" s="15"/>
      <c r="J139" s="19"/>
      <c r="K139" s="20"/>
      <c r="L139" s="20"/>
      <c r="M139" s="23" t="str">
        <f aca="false">IF($B139="","",$F139*$E139)</f>
        <v/>
      </c>
      <c r="N139" s="23" t="str">
        <f aca="false">IF($B139="","",$M139*(1-설정!$B$7))</f>
        <v/>
      </c>
      <c r="O139" s="23" t="str">
        <f aca="false">IF($B139="","",$N139-($G139*$E139+$H139))</f>
        <v/>
      </c>
      <c r="P139" s="24" t="str">
        <f aca="true">IF($B139="","",IF(AND($I139=설정!$A$11,$A139&lt;&gt;"",TODAY()-$A139&gt;=설정!$B$8),"지연!",""))</f>
        <v/>
      </c>
    </row>
    <row r="140" customFormat="false" ht="15" hidden="false" customHeight="false" outlineLevel="0" collapsed="false">
      <c r="A140" s="19"/>
      <c r="B140" s="20"/>
      <c r="C140" s="5"/>
      <c r="D140" s="5"/>
      <c r="E140" s="21"/>
      <c r="F140" s="22"/>
      <c r="G140" s="22"/>
      <c r="H140" s="22"/>
      <c r="I140" s="15"/>
      <c r="J140" s="19"/>
      <c r="K140" s="20"/>
      <c r="L140" s="20"/>
      <c r="M140" s="23" t="str">
        <f aca="false">IF($B140="","",$F140*$E140)</f>
        <v/>
      </c>
      <c r="N140" s="23" t="str">
        <f aca="false">IF($B140="","",$M140*(1-설정!$B$7))</f>
        <v/>
      </c>
      <c r="O140" s="23" t="str">
        <f aca="false">IF($B140="","",$N140-($G140*$E140+$H140))</f>
        <v/>
      </c>
      <c r="P140" s="24" t="str">
        <f aca="true">IF($B140="","",IF(AND($I140=설정!$A$11,$A140&lt;&gt;"",TODAY()-$A140&gt;=설정!$B$8),"지연!",""))</f>
        <v/>
      </c>
    </row>
    <row r="141" customFormat="false" ht="15" hidden="false" customHeight="false" outlineLevel="0" collapsed="false">
      <c r="A141" s="19"/>
      <c r="B141" s="20"/>
      <c r="C141" s="5"/>
      <c r="D141" s="5"/>
      <c r="E141" s="21"/>
      <c r="F141" s="22"/>
      <c r="G141" s="22"/>
      <c r="H141" s="22"/>
      <c r="I141" s="15"/>
      <c r="J141" s="19"/>
      <c r="K141" s="20"/>
      <c r="L141" s="20"/>
      <c r="M141" s="23" t="str">
        <f aca="false">IF($B141="","",$F141*$E141)</f>
        <v/>
      </c>
      <c r="N141" s="23" t="str">
        <f aca="false">IF($B141="","",$M141*(1-설정!$B$7))</f>
        <v/>
      </c>
      <c r="O141" s="23" t="str">
        <f aca="false">IF($B141="","",$N141-($G141*$E141+$H141))</f>
        <v/>
      </c>
      <c r="P141" s="24" t="str">
        <f aca="true">IF($B141="","",IF(AND($I141=설정!$A$11,$A141&lt;&gt;"",TODAY()-$A141&gt;=설정!$B$8),"지연!",""))</f>
        <v/>
      </c>
    </row>
    <row r="142" customFormat="false" ht="15" hidden="false" customHeight="false" outlineLevel="0" collapsed="false">
      <c r="A142" s="19"/>
      <c r="B142" s="20"/>
      <c r="C142" s="5"/>
      <c r="D142" s="5"/>
      <c r="E142" s="21"/>
      <c r="F142" s="22"/>
      <c r="G142" s="22"/>
      <c r="H142" s="22"/>
      <c r="I142" s="15"/>
      <c r="J142" s="19"/>
      <c r="K142" s="20"/>
      <c r="L142" s="20"/>
      <c r="M142" s="23" t="str">
        <f aca="false">IF($B142="","",$F142*$E142)</f>
        <v/>
      </c>
      <c r="N142" s="23" t="str">
        <f aca="false">IF($B142="","",$M142*(1-설정!$B$7))</f>
        <v/>
      </c>
      <c r="O142" s="23" t="str">
        <f aca="false">IF($B142="","",$N142-($G142*$E142+$H142))</f>
        <v/>
      </c>
      <c r="P142" s="24" t="str">
        <f aca="true">IF($B142="","",IF(AND($I142=설정!$A$11,$A142&lt;&gt;"",TODAY()-$A142&gt;=설정!$B$8),"지연!",""))</f>
        <v/>
      </c>
    </row>
    <row r="143" customFormat="false" ht="15" hidden="false" customHeight="false" outlineLevel="0" collapsed="false">
      <c r="A143" s="19"/>
      <c r="B143" s="20"/>
      <c r="C143" s="5"/>
      <c r="D143" s="5"/>
      <c r="E143" s="21"/>
      <c r="F143" s="22"/>
      <c r="G143" s="22"/>
      <c r="H143" s="22"/>
      <c r="I143" s="15"/>
      <c r="J143" s="19"/>
      <c r="K143" s="20"/>
      <c r="L143" s="20"/>
      <c r="M143" s="23" t="str">
        <f aca="false">IF($B143="","",$F143*$E143)</f>
        <v/>
      </c>
      <c r="N143" s="23" t="str">
        <f aca="false">IF($B143="","",$M143*(1-설정!$B$7))</f>
        <v/>
      </c>
      <c r="O143" s="23" t="str">
        <f aca="false">IF($B143="","",$N143-($G143*$E143+$H143))</f>
        <v/>
      </c>
      <c r="P143" s="24" t="str">
        <f aca="true">IF($B143="","",IF(AND($I143=설정!$A$11,$A143&lt;&gt;"",TODAY()-$A143&gt;=설정!$B$8),"지연!",""))</f>
        <v/>
      </c>
    </row>
    <row r="144" customFormat="false" ht="15" hidden="false" customHeight="false" outlineLevel="0" collapsed="false">
      <c r="A144" s="19"/>
      <c r="B144" s="20"/>
      <c r="C144" s="5"/>
      <c r="D144" s="5"/>
      <c r="E144" s="21"/>
      <c r="F144" s="22"/>
      <c r="G144" s="22"/>
      <c r="H144" s="22"/>
      <c r="I144" s="15"/>
      <c r="J144" s="19"/>
      <c r="K144" s="20"/>
      <c r="L144" s="20"/>
      <c r="M144" s="23" t="str">
        <f aca="false">IF($B144="","",$F144*$E144)</f>
        <v/>
      </c>
      <c r="N144" s="23" t="str">
        <f aca="false">IF($B144="","",$M144*(1-설정!$B$7))</f>
        <v/>
      </c>
      <c r="O144" s="23" t="str">
        <f aca="false">IF($B144="","",$N144-($G144*$E144+$H144))</f>
        <v/>
      </c>
      <c r="P144" s="24" t="str">
        <f aca="true">IF($B144="","",IF(AND($I144=설정!$A$11,$A144&lt;&gt;"",TODAY()-$A144&gt;=설정!$B$8),"지연!",""))</f>
        <v/>
      </c>
    </row>
    <row r="145" customFormat="false" ht="15" hidden="false" customHeight="false" outlineLevel="0" collapsed="false">
      <c r="A145" s="19"/>
      <c r="B145" s="20"/>
      <c r="C145" s="5"/>
      <c r="D145" s="5"/>
      <c r="E145" s="21"/>
      <c r="F145" s="22"/>
      <c r="G145" s="22"/>
      <c r="H145" s="22"/>
      <c r="I145" s="15"/>
      <c r="J145" s="19"/>
      <c r="K145" s="20"/>
      <c r="L145" s="20"/>
      <c r="M145" s="23" t="str">
        <f aca="false">IF($B145="","",$F145*$E145)</f>
        <v/>
      </c>
      <c r="N145" s="23" t="str">
        <f aca="false">IF($B145="","",$M145*(1-설정!$B$7))</f>
        <v/>
      </c>
      <c r="O145" s="23" t="str">
        <f aca="false">IF($B145="","",$N145-($G145*$E145+$H145))</f>
        <v/>
      </c>
      <c r="P145" s="24" t="str">
        <f aca="true">IF($B145="","",IF(AND($I145=설정!$A$11,$A145&lt;&gt;"",TODAY()-$A145&gt;=설정!$B$8),"지연!",""))</f>
        <v/>
      </c>
    </row>
    <row r="146" customFormat="false" ht="15" hidden="false" customHeight="false" outlineLevel="0" collapsed="false">
      <c r="A146" s="19"/>
      <c r="B146" s="20"/>
      <c r="C146" s="5"/>
      <c r="D146" s="5"/>
      <c r="E146" s="21"/>
      <c r="F146" s="22"/>
      <c r="G146" s="22"/>
      <c r="H146" s="22"/>
      <c r="I146" s="15"/>
      <c r="J146" s="19"/>
      <c r="K146" s="20"/>
      <c r="L146" s="20"/>
      <c r="M146" s="23" t="str">
        <f aca="false">IF($B146="","",$F146*$E146)</f>
        <v/>
      </c>
      <c r="N146" s="23" t="str">
        <f aca="false">IF($B146="","",$M146*(1-설정!$B$7))</f>
        <v/>
      </c>
      <c r="O146" s="23" t="str">
        <f aca="false">IF($B146="","",$N146-($G146*$E146+$H146))</f>
        <v/>
      </c>
      <c r="P146" s="24" t="str">
        <f aca="true">IF($B146="","",IF(AND($I146=설정!$A$11,$A146&lt;&gt;"",TODAY()-$A146&gt;=설정!$B$8),"지연!",""))</f>
        <v/>
      </c>
    </row>
    <row r="147" customFormat="false" ht="15" hidden="false" customHeight="false" outlineLevel="0" collapsed="false">
      <c r="A147" s="19"/>
      <c r="B147" s="20"/>
      <c r="C147" s="5"/>
      <c r="D147" s="5"/>
      <c r="E147" s="21"/>
      <c r="F147" s="22"/>
      <c r="G147" s="22"/>
      <c r="H147" s="22"/>
      <c r="I147" s="15"/>
      <c r="J147" s="19"/>
      <c r="K147" s="20"/>
      <c r="L147" s="20"/>
      <c r="M147" s="23" t="str">
        <f aca="false">IF($B147="","",$F147*$E147)</f>
        <v/>
      </c>
      <c r="N147" s="23" t="str">
        <f aca="false">IF($B147="","",$M147*(1-설정!$B$7))</f>
        <v/>
      </c>
      <c r="O147" s="23" t="str">
        <f aca="false">IF($B147="","",$N147-($G147*$E147+$H147))</f>
        <v/>
      </c>
      <c r="P147" s="24" t="str">
        <f aca="true">IF($B147="","",IF(AND($I147=설정!$A$11,$A147&lt;&gt;"",TODAY()-$A147&gt;=설정!$B$8),"지연!",""))</f>
        <v/>
      </c>
    </row>
    <row r="148" customFormat="false" ht="15" hidden="false" customHeight="false" outlineLevel="0" collapsed="false">
      <c r="A148" s="19"/>
      <c r="B148" s="20"/>
      <c r="C148" s="5"/>
      <c r="D148" s="5"/>
      <c r="E148" s="21"/>
      <c r="F148" s="22"/>
      <c r="G148" s="22"/>
      <c r="H148" s="22"/>
      <c r="I148" s="15"/>
      <c r="J148" s="19"/>
      <c r="K148" s="20"/>
      <c r="L148" s="20"/>
      <c r="M148" s="23" t="str">
        <f aca="false">IF($B148="","",$F148*$E148)</f>
        <v/>
      </c>
      <c r="N148" s="23" t="str">
        <f aca="false">IF($B148="","",$M148*(1-설정!$B$7))</f>
        <v/>
      </c>
      <c r="O148" s="23" t="str">
        <f aca="false">IF($B148="","",$N148-($G148*$E148+$H148))</f>
        <v/>
      </c>
      <c r="P148" s="24" t="str">
        <f aca="true">IF($B148="","",IF(AND($I148=설정!$A$11,$A148&lt;&gt;"",TODAY()-$A148&gt;=설정!$B$8),"지연!",""))</f>
        <v/>
      </c>
    </row>
    <row r="149" customFormat="false" ht="15" hidden="false" customHeight="false" outlineLevel="0" collapsed="false">
      <c r="A149" s="19"/>
      <c r="B149" s="20"/>
      <c r="C149" s="5"/>
      <c r="D149" s="5"/>
      <c r="E149" s="21"/>
      <c r="F149" s="22"/>
      <c r="G149" s="22"/>
      <c r="H149" s="22"/>
      <c r="I149" s="15"/>
      <c r="J149" s="19"/>
      <c r="K149" s="20"/>
      <c r="L149" s="20"/>
      <c r="M149" s="23" t="str">
        <f aca="false">IF($B149="","",$F149*$E149)</f>
        <v/>
      </c>
      <c r="N149" s="23" t="str">
        <f aca="false">IF($B149="","",$M149*(1-설정!$B$7))</f>
        <v/>
      </c>
      <c r="O149" s="23" t="str">
        <f aca="false">IF($B149="","",$N149-($G149*$E149+$H149))</f>
        <v/>
      </c>
      <c r="P149" s="24" t="str">
        <f aca="true">IF($B149="","",IF(AND($I149=설정!$A$11,$A149&lt;&gt;"",TODAY()-$A149&gt;=설정!$B$8),"지연!",""))</f>
        <v/>
      </c>
    </row>
    <row r="150" customFormat="false" ht="15" hidden="false" customHeight="false" outlineLevel="0" collapsed="false">
      <c r="A150" s="19"/>
      <c r="B150" s="20"/>
      <c r="C150" s="5"/>
      <c r="D150" s="5"/>
      <c r="E150" s="21"/>
      <c r="F150" s="22"/>
      <c r="G150" s="22"/>
      <c r="H150" s="22"/>
      <c r="I150" s="15"/>
      <c r="J150" s="19"/>
      <c r="K150" s="20"/>
      <c r="L150" s="20"/>
      <c r="M150" s="23" t="str">
        <f aca="false">IF($B150="","",$F150*$E150)</f>
        <v/>
      </c>
      <c r="N150" s="23" t="str">
        <f aca="false">IF($B150="","",$M150*(1-설정!$B$7))</f>
        <v/>
      </c>
      <c r="O150" s="23" t="str">
        <f aca="false">IF($B150="","",$N150-($G150*$E150+$H150))</f>
        <v/>
      </c>
      <c r="P150" s="24" t="str">
        <f aca="true">IF($B150="","",IF(AND($I150=설정!$A$11,$A150&lt;&gt;"",TODAY()-$A150&gt;=설정!$B$8),"지연!",""))</f>
        <v/>
      </c>
    </row>
    <row r="151" customFormat="false" ht="15" hidden="false" customHeight="false" outlineLevel="0" collapsed="false">
      <c r="A151" s="19"/>
      <c r="B151" s="20"/>
      <c r="C151" s="5"/>
      <c r="D151" s="5"/>
      <c r="E151" s="21"/>
      <c r="F151" s="22"/>
      <c r="G151" s="22"/>
      <c r="H151" s="22"/>
      <c r="I151" s="15"/>
      <c r="J151" s="19"/>
      <c r="K151" s="20"/>
      <c r="L151" s="20"/>
      <c r="M151" s="23" t="str">
        <f aca="false">IF($B151="","",$F151*$E151)</f>
        <v/>
      </c>
      <c r="N151" s="23" t="str">
        <f aca="false">IF($B151="","",$M151*(1-설정!$B$7))</f>
        <v/>
      </c>
      <c r="O151" s="23" t="str">
        <f aca="false">IF($B151="","",$N151-($G151*$E151+$H151))</f>
        <v/>
      </c>
      <c r="P151" s="24" t="str">
        <f aca="true">IF($B151="","",IF(AND($I151=설정!$A$11,$A151&lt;&gt;"",TODAY()-$A151&gt;=설정!$B$8),"지연!",""))</f>
        <v/>
      </c>
    </row>
    <row r="152" customFormat="false" ht="15" hidden="false" customHeight="false" outlineLevel="0" collapsed="false">
      <c r="A152" s="19"/>
      <c r="B152" s="20"/>
      <c r="C152" s="5"/>
      <c r="D152" s="5"/>
      <c r="E152" s="21"/>
      <c r="F152" s="22"/>
      <c r="G152" s="22"/>
      <c r="H152" s="22"/>
      <c r="I152" s="15"/>
      <c r="J152" s="19"/>
      <c r="K152" s="20"/>
      <c r="L152" s="20"/>
      <c r="M152" s="23" t="str">
        <f aca="false">IF($B152="","",$F152*$E152)</f>
        <v/>
      </c>
      <c r="N152" s="23" t="str">
        <f aca="false">IF($B152="","",$M152*(1-설정!$B$7))</f>
        <v/>
      </c>
      <c r="O152" s="23" t="str">
        <f aca="false">IF($B152="","",$N152-($G152*$E152+$H152))</f>
        <v/>
      </c>
      <c r="P152" s="24" t="str">
        <f aca="true">IF($B152="","",IF(AND($I152=설정!$A$11,$A152&lt;&gt;"",TODAY()-$A152&gt;=설정!$B$8),"지연!",""))</f>
        <v/>
      </c>
    </row>
    <row r="153" customFormat="false" ht="15" hidden="false" customHeight="false" outlineLevel="0" collapsed="false">
      <c r="A153" s="19"/>
      <c r="B153" s="20"/>
      <c r="C153" s="5"/>
      <c r="D153" s="5"/>
      <c r="E153" s="21"/>
      <c r="F153" s="22"/>
      <c r="G153" s="22"/>
      <c r="H153" s="22"/>
      <c r="I153" s="15"/>
      <c r="J153" s="19"/>
      <c r="K153" s="20"/>
      <c r="L153" s="20"/>
      <c r="M153" s="23" t="str">
        <f aca="false">IF($B153="","",$F153*$E153)</f>
        <v/>
      </c>
      <c r="N153" s="23" t="str">
        <f aca="false">IF($B153="","",$M153*(1-설정!$B$7))</f>
        <v/>
      </c>
      <c r="O153" s="23" t="str">
        <f aca="false">IF($B153="","",$N153-($G153*$E153+$H153))</f>
        <v/>
      </c>
      <c r="P153" s="24" t="str">
        <f aca="true">IF($B153="","",IF(AND($I153=설정!$A$11,$A153&lt;&gt;"",TODAY()-$A153&gt;=설정!$B$8),"지연!",""))</f>
        <v/>
      </c>
    </row>
    <row r="154" customFormat="false" ht="15" hidden="false" customHeight="false" outlineLevel="0" collapsed="false">
      <c r="A154" s="19"/>
      <c r="B154" s="20"/>
      <c r="C154" s="5"/>
      <c r="D154" s="5"/>
      <c r="E154" s="21"/>
      <c r="F154" s="22"/>
      <c r="G154" s="22"/>
      <c r="H154" s="22"/>
      <c r="I154" s="15"/>
      <c r="J154" s="19"/>
      <c r="K154" s="20"/>
      <c r="L154" s="20"/>
      <c r="M154" s="23" t="str">
        <f aca="false">IF($B154="","",$F154*$E154)</f>
        <v/>
      </c>
      <c r="N154" s="23" t="str">
        <f aca="false">IF($B154="","",$M154*(1-설정!$B$7))</f>
        <v/>
      </c>
      <c r="O154" s="23" t="str">
        <f aca="false">IF($B154="","",$N154-($G154*$E154+$H154))</f>
        <v/>
      </c>
      <c r="P154" s="24" t="str">
        <f aca="true">IF($B154="","",IF(AND($I154=설정!$A$11,$A154&lt;&gt;"",TODAY()-$A154&gt;=설정!$B$8),"지연!",""))</f>
        <v/>
      </c>
    </row>
    <row r="155" customFormat="false" ht="15" hidden="false" customHeight="false" outlineLevel="0" collapsed="false">
      <c r="A155" s="19"/>
      <c r="B155" s="20"/>
      <c r="C155" s="5"/>
      <c r="D155" s="5"/>
      <c r="E155" s="21"/>
      <c r="F155" s="22"/>
      <c r="G155" s="22"/>
      <c r="H155" s="22"/>
      <c r="I155" s="15"/>
      <c r="J155" s="19"/>
      <c r="K155" s="20"/>
      <c r="L155" s="20"/>
      <c r="M155" s="23" t="str">
        <f aca="false">IF($B155="","",$F155*$E155)</f>
        <v/>
      </c>
      <c r="N155" s="23" t="str">
        <f aca="false">IF($B155="","",$M155*(1-설정!$B$7))</f>
        <v/>
      </c>
      <c r="O155" s="23" t="str">
        <f aca="false">IF($B155="","",$N155-($G155*$E155+$H155))</f>
        <v/>
      </c>
      <c r="P155" s="24" t="str">
        <f aca="true">IF($B155="","",IF(AND($I155=설정!$A$11,$A155&lt;&gt;"",TODAY()-$A155&gt;=설정!$B$8),"지연!",""))</f>
        <v/>
      </c>
    </row>
    <row r="156" customFormat="false" ht="15" hidden="false" customHeight="false" outlineLevel="0" collapsed="false">
      <c r="A156" s="19"/>
      <c r="B156" s="20"/>
      <c r="C156" s="5"/>
      <c r="D156" s="5"/>
      <c r="E156" s="21"/>
      <c r="F156" s="22"/>
      <c r="G156" s="22"/>
      <c r="H156" s="22"/>
      <c r="I156" s="15"/>
      <c r="J156" s="19"/>
      <c r="K156" s="20"/>
      <c r="L156" s="20"/>
      <c r="M156" s="23" t="str">
        <f aca="false">IF($B156="","",$F156*$E156)</f>
        <v/>
      </c>
      <c r="N156" s="23" t="str">
        <f aca="false">IF($B156="","",$M156*(1-설정!$B$7))</f>
        <v/>
      </c>
      <c r="O156" s="23" t="str">
        <f aca="false">IF($B156="","",$N156-($G156*$E156+$H156))</f>
        <v/>
      </c>
      <c r="P156" s="24" t="str">
        <f aca="true">IF($B156="","",IF(AND($I156=설정!$A$11,$A156&lt;&gt;"",TODAY()-$A156&gt;=설정!$B$8),"지연!",""))</f>
        <v/>
      </c>
    </row>
    <row r="157" customFormat="false" ht="15" hidden="false" customHeight="false" outlineLevel="0" collapsed="false">
      <c r="A157" s="19"/>
      <c r="B157" s="20"/>
      <c r="C157" s="5"/>
      <c r="D157" s="5"/>
      <c r="E157" s="21"/>
      <c r="F157" s="22"/>
      <c r="G157" s="22"/>
      <c r="H157" s="22"/>
      <c r="I157" s="15"/>
      <c r="J157" s="19"/>
      <c r="K157" s="20"/>
      <c r="L157" s="20"/>
      <c r="M157" s="23" t="str">
        <f aca="false">IF($B157="","",$F157*$E157)</f>
        <v/>
      </c>
      <c r="N157" s="23" t="str">
        <f aca="false">IF($B157="","",$M157*(1-설정!$B$7))</f>
        <v/>
      </c>
      <c r="O157" s="23" t="str">
        <f aca="false">IF($B157="","",$N157-($G157*$E157+$H157))</f>
        <v/>
      </c>
      <c r="P157" s="24" t="str">
        <f aca="true">IF($B157="","",IF(AND($I157=설정!$A$11,$A157&lt;&gt;"",TODAY()-$A157&gt;=설정!$B$8),"지연!",""))</f>
        <v/>
      </c>
    </row>
    <row r="158" customFormat="false" ht="15" hidden="false" customHeight="false" outlineLevel="0" collapsed="false">
      <c r="A158" s="19"/>
      <c r="B158" s="20"/>
      <c r="C158" s="5"/>
      <c r="D158" s="5"/>
      <c r="E158" s="21"/>
      <c r="F158" s="22"/>
      <c r="G158" s="22"/>
      <c r="H158" s="22"/>
      <c r="I158" s="15"/>
      <c r="J158" s="19"/>
      <c r="K158" s="20"/>
      <c r="L158" s="20"/>
      <c r="M158" s="23" t="str">
        <f aca="false">IF($B158="","",$F158*$E158)</f>
        <v/>
      </c>
      <c r="N158" s="23" t="str">
        <f aca="false">IF($B158="","",$M158*(1-설정!$B$7))</f>
        <v/>
      </c>
      <c r="O158" s="23" t="str">
        <f aca="false">IF($B158="","",$N158-($G158*$E158+$H158))</f>
        <v/>
      </c>
      <c r="P158" s="24" t="str">
        <f aca="true">IF($B158="","",IF(AND($I158=설정!$A$11,$A158&lt;&gt;"",TODAY()-$A158&gt;=설정!$B$8),"지연!",""))</f>
        <v/>
      </c>
    </row>
    <row r="159" customFormat="false" ht="15" hidden="false" customHeight="false" outlineLevel="0" collapsed="false">
      <c r="A159" s="19"/>
      <c r="B159" s="20"/>
      <c r="C159" s="5"/>
      <c r="D159" s="5"/>
      <c r="E159" s="21"/>
      <c r="F159" s="22"/>
      <c r="G159" s="22"/>
      <c r="H159" s="22"/>
      <c r="I159" s="15"/>
      <c r="J159" s="19"/>
      <c r="K159" s="20"/>
      <c r="L159" s="20"/>
      <c r="M159" s="23" t="str">
        <f aca="false">IF($B159="","",$F159*$E159)</f>
        <v/>
      </c>
      <c r="N159" s="23" t="str">
        <f aca="false">IF($B159="","",$M159*(1-설정!$B$7))</f>
        <v/>
      </c>
      <c r="O159" s="23" t="str">
        <f aca="false">IF($B159="","",$N159-($G159*$E159+$H159))</f>
        <v/>
      </c>
      <c r="P159" s="24" t="str">
        <f aca="true">IF($B159="","",IF(AND($I159=설정!$A$11,$A159&lt;&gt;"",TODAY()-$A159&gt;=설정!$B$8),"지연!",""))</f>
        <v/>
      </c>
    </row>
    <row r="160" customFormat="false" ht="15" hidden="false" customHeight="false" outlineLevel="0" collapsed="false">
      <c r="A160" s="19"/>
      <c r="B160" s="20"/>
      <c r="C160" s="5"/>
      <c r="D160" s="5"/>
      <c r="E160" s="21"/>
      <c r="F160" s="22"/>
      <c r="G160" s="22"/>
      <c r="H160" s="22"/>
      <c r="I160" s="15"/>
      <c r="J160" s="19"/>
      <c r="K160" s="20"/>
      <c r="L160" s="20"/>
      <c r="M160" s="23" t="str">
        <f aca="false">IF($B160="","",$F160*$E160)</f>
        <v/>
      </c>
      <c r="N160" s="23" t="str">
        <f aca="false">IF($B160="","",$M160*(1-설정!$B$7))</f>
        <v/>
      </c>
      <c r="O160" s="23" t="str">
        <f aca="false">IF($B160="","",$N160-($G160*$E160+$H160))</f>
        <v/>
      </c>
      <c r="P160" s="24" t="str">
        <f aca="true">IF($B160="","",IF(AND($I160=설정!$A$11,$A160&lt;&gt;"",TODAY()-$A160&gt;=설정!$B$8),"지연!",""))</f>
        <v/>
      </c>
    </row>
    <row r="161" customFormat="false" ht="15" hidden="false" customHeight="false" outlineLevel="0" collapsed="false">
      <c r="A161" s="19"/>
      <c r="B161" s="20"/>
      <c r="C161" s="5"/>
      <c r="D161" s="5"/>
      <c r="E161" s="21"/>
      <c r="F161" s="22"/>
      <c r="G161" s="22"/>
      <c r="H161" s="22"/>
      <c r="I161" s="15"/>
      <c r="J161" s="19"/>
      <c r="K161" s="20"/>
      <c r="L161" s="20"/>
      <c r="M161" s="23" t="str">
        <f aca="false">IF($B161="","",$F161*$E161)</f>
        <v/>
      </c>
      <c r="N161" s="23" t="str">
        <f aca="false">IF($B161="","",$M161*(1-설정!$B$7))</f>
        <v/>
      </c>
      <c r="O161" s="23" t="str">
        <f aca="false">IF($B161="","",$N161-($G161*$E161+$H161))</f>
        <v/>
      </c>
      <c r="P161" s="24" t="str">
        <f aca="true">IF($B161="","",IF(AND($I161=설정!$A$11,$A161&lt;&gt;"",TODAY()-$A161&gt;=설정!$B$8),"지연!",""))</f>
        <v/>
      </c>
    </row>
    <row r="162" customFormat="false" ht="15" hidden="false" customHeight="false" outlineLevel="0" collapsed="false">
      <c r="A162" s="19"/>
      <c r="B162" s="20"/>
      <c r="C162" s="5"/>
      <c r="D162" s="5"/>
      <c r="E162" s="21"/>
      <c r="F162" s="22"/>
      <c r="G162" s="22"/>
      <c r="H162" s="22"/>
      <c r="I162" s="15"/>
      <c r="J162" s="19"/>
      <c r="K162" s="20"/>
      <c r="L162" s="20"/>
      <c r="M162" s="23" t="str">
        <f aca="false">IF($B162="","",$F162*$E162)</f>
        <v/>
      </c>
      <c r="N162" s="23" t="str">
        <f aca="false">IF($B162="","",$M162*(1-설정!$B$7))</f>
        <v/>
      </c>
      <c r="O162" s="23" t="str">
        <f aca="false">IF($B162="","",$N162-($G162*$E162+$H162))</f>
        <v/>
      </c>
      <c r="P162" s="24" t="str">
        <f aca="true">IF($B162="","",IF(AND($I162=설정!$A$11,$A162&lt;&gt;"",TODAY()-$A162&gt;=설정!$B$8),"지연!",""))</f>
        <v/>
      </c>
    </row>
    <row r="163" customFormat="false" ht="15" hidden="false" customHeight="false" outlineLevel="0" collapsed="false">
      <c r="A163" s="19"/>
      <c r="B163" s="20"/>
      <c r="C163" s="5"/>
      <c r="D163" s="5"/>
      <c r="E163" s="21"/>
      <c r="F163" s="22"/>
      <c r="G163" s="22"/>
      <c r="H163" s="22"/>
      <c r="I163" s="15"/>
      <c r="J163" s="19"/>
      <c r="K163" s="20"/>
      <c r="L163" s="20"/>
      <c r="M163" s="23" t="str">
        <f aca="false">IF($B163="","",$F163*$E163)</f>
        <v/>
      </c>
      <c r="N163" s="23" t="str">
        <f aca="false">IF($B163="","",$M163*(1-설정!$B$7))</f>
        <v/>
      </c>
      <c r="O163" s="23" t="str">
        <f aca="false">IF($B163="","",$N163-($G163*$E163+$H163))</f>
        <v/>
      </c>
      <c r="P163" s="24" t="str">
        <f aca="true">IF($B163="","",IF(AND($I163=설정!$A$11,$A163&lt;&gt;"",TODAY()-$A163&gt;=설정!$B$8),"지연!",""))</f>
        <v/>
      </c>
    </row>
    <row r="164" customFormat="false" ht="15" hidden="false" customHeight="false" outlineLevel="0" collapsed="false">
      <c r="A164" s="19"/>
      <c r="B164" s="20"/>
      <c r="C164" s="5"/>
      <c r="D164" s="5"/>
      <c r="E164" s="21"/>
      <c r="F164" s="22"/>
      <c r="G164" s="22"/>
      <c r="H164" s="22"/>
      <c r="I164" s="15"/>
      <c r="J164" s="19"/>
      <c r="K164" s="20"/>
      <c r="L164" s="20"/>
      <c r="M164" s="23" t="str">
        <f aca="false">IF($B164="","",$F164*$E164)</f>
        <v/>
      </c>
      <c r="N164" s="23" t="str">
        <f aca="false">IF($B164="","",$M164*(1-설정!$B$7))</f>
        <v/>
      </c>
      <c r="O164" s="23" t="str">
        <f aca="false">IF($B164="","",$N164-($G164*$E164+$H164))</f>
        <v/>
      </c>
      <c r="P164" s="24" t="str">
        <f aca="true">IF($B164="","",IF(AND($I164=설정!$A$11,$A164&lt;&gt;"",TODAY()-$A164&gt;=설정!$B$8),"지연!",""))</f>
        <v/>
      </c>
    </row>
    <row r="165" customFormat="false" ht="15" hidden="false" customHeight="false" outlineLevel="0" collapsed="false">
      <c r="A165" s="19"/>
      <c r="B165" s="20"/>
      <c r="C165" s="5"/>
      <c r="D165" s="5"/>
      <c r="E165" s="21"/>
      <c r="F165" s="22"/>
      <c r="G165" s="22"/>
      <c r="H165" s="22"/>
      <c r="I165" s="15"/>
      <c r="J165" s="19"/>
      <c r="K165" s="20"/>
      <c r="L165" s="20"/>
      <c r="M165" s="23" t="str">
        <f aca="false">IF($B165="","",$F165*$E165)</f>
        <v/>
      </c>
      <c r="N165" s="23" t="str">
        <f aca="false">IF($B165="","",$M165*(1-설정!$B$7))</f>
        <v/>
      </c>
      <c r="O165" s="23" t="str">
        <f aca="false">IF($B165="","",$N165-($G165*$E165+$H165))</f>
        <v/>
      </c>
      <c r="P165" s="24" t="str">
        <f aca="true">IF($B165="","",IF(AND($I165=설정!$A$11,$A165&lt;&gt;"",TODAY()-$A165&gt;=설정!$B$8),"지연!",""))</f>
        <v/>
      </c>
    </row>
    <row r="166" customFormat="false" ht="15" hidden="false" customHeight="false" outlineLevel="0" collapsed="false">
      <c r="A166" s="19"/>
      <c r="B166" s="20"/>
      <c r="C166" s="5"/>
      <c r="D166" s="5"/>
      <c r="E166" s="21"/>
      <c r="F166" s="22"/>
      <c r="G166" s="22"/>
      <c r="H166" s="22"/>
      <c r="I166" s="15"/>
      <c r="J166" s="19"/>
      <c r="K166" s="20"/>
      <c r="L166" s="20"/>
      <c r="M166" s="23" t="str">
        <f aca="false">IF($B166="","",$F166*$E166)</f>
        <v/>
      </c>
      <c r="N166" s="23" t="str">
        <f aca="false">IF($B166="","",$M166*(1-설정!$B$7))</f>
        <v/>
      </c>
      <c r="O166" s="23" t="str">
        <f aca="false">IF($B166="","",$N166-($G166*$E166+$H166))</f>
        <v/>
      </c>
      <c r="P166" s="24" t="str">
        <f aca="true">IF($B166="","",IF(AND($I166=설정!$A$11,$A166&lt;&gt;"",TODAY()-$A166&gt;=설정!$B$8),"지연!",""))</f>
        <v/>
      </c>
    </row>
    <row r="167" customFormat="false" ht="15" hidden="false" customHeight="false" outlineLevel="0" collapsed="false">
      <c r="A167" s="19"/>
      <c r="B167" s="20"/>
      <c r="C167" s="5"/>
      <c r="D167" s="5"/>
      <c r="E167" s="21"/>
      <c r="F167" s="22"/>
      <c r="G167" s="22"/>
      <c r="H167" s="22"/>
      <c r="I167" s="15"/>
      <c r="J167" s="19"/>
      <c r="K167" s="20"/>
      <c r="L167" s="20"/>
      <c r="M167" s="23" t="str">
        <f aca="false">IF($B167="","",$F167*$E167)</f>
        <v/>
      </c>
      <c r="N167" s="23" t="str">
        <f aca="false">IF($B167="","",$M167*(1-설정!$B$7))</f>
        <v/>
      </c>
      <c r="O167" s="23" t="str">
        <f aca="false">IF($B167="","",$N167-($G167*$E167+$H167))</f>
        <v/>
      </c>
      <c r="P167" s="24" t="str">
        <f aca="true">IF($B167="","",IF(AND($I167=설정!$A$11,$A167&lt;&gt;"",TODAY()-$A167&gt;=설정!$B$8),"지연!",""))</f>
        <v/>
      </c>
    </row>
    <row r="168" customFormat="false" ht="15" hidden="false" customHeight="false" outlineLevel="0" collapsed="false">
      <c r="A168" s="19"/>
      <c r="B168" s="20"/>
      <c r="C168" s="5"/>
      <c r="D168" s="5"/>
      <c r="E168" s="21"/>
      <c r="F168" s="22"/>
      <c r="G168" s="22"/>
      <c r="H168" s="22"/>
      <c r="I168" s="15"/>
      <c r="J168" s="19"/>
      <c r="K168" s="20"/>
      <c r="L168" s="20"/>
      <c r="M168" s="23" t="str">
        <f aca="false">IF($B168="","",$F168*$E168)</f>
        <v/>
      </c>
      <c r="N168" s="23" t="str">
        <f aca="false">IF($B168="","",$M168*(1-설정!$B$7))</f>
        <v/>
      </c>
      <c r="O168" s="23" t="str">
        <f aca="false">IF($B168="","",$N168-($G168*$E168+$H168))</f>
        <v/>
      </c>
      <c r="P168" s="24" t="str">
        <f aca="true">IF($B168="","",IF(AND($I168=설정!$A$11,$A168&lt;&gt;"",TODAY()-$A168&gt;=설정!$B$8),"지연!",""))</f>
        <v/>
      </c>
    </row>
    <row r="169" customFormat="false" ht="15" hidden="false" customHeight="false" outlineLevel="0" collapsed="false">
      <c r="A169" s="19"/>
      <c r="B169" s="20"/>
      <c r="C169" s="5"/>
      <c r="D169" s="5"/>
      <c r="E169" s="21"/>
      <c r="F169" s="22"/>
      <c r="G169" s="22"/>
      <c r="H169" s="22"/>
      <c r="I169" s="15"/>
      <c r="J169" s="19"/>
      <c r="K169" s="20"/>
      <c r="L169" s="20"/>
      <c r="M169" s="23" t="str">
        <f aca="false">IF($B169="","",$F169*$E169)</f>
        <v/>
      </c>
      <c r="N169" s="23" t="str">
        <f aca="false">IF($B169="","",$M169*(1-설정!$B$7))</f>
        <v/>
      </c>
      <c r="O169" s="23" t="str">
        <f aca="false">IF($B169="","",$N169-($G169*$E169+$H169))</f>
        <v/>
      </c>
      <c r="P169" s="24" t="str">
        <f aca="true">IF($B169="","",IF(AND($I169=설정!$A$11,$A169&lt;&gt;"",TODAY()-$A169&gt;=설정!$B$8),"지연!",""))</f>
        <v/>
      </c>
    </row>
    <row r="170" customFormat="false" ht="15" hidden="false" customHeight="false" outlineLevel="0" collapsed="false">
      <c r="A170" s="19"/>
      <c r="B170" s="20"/>
      <c r="C170" s="5"/>
      <c r="D170" s="5"/>
      <c r="E170" s="21"/>
      <c r="F170" s="22"/>
      <c r="G170" s="22"/>
      <c r="H170" s="22"/>
      <c r="I170" s="15"/>
      <c r="J170" s="19"/>
      <c r="K170" s="20"/>
      <c r="L170" s="20"/>
      <c r="M170" s="23" t="str">
        <f aca="false">IF($B170="","",$F170*$E170)</f>
        <v/>
      </c>
      <c r="N170" s="23" t="str">
        <f aca="false">IF($B170="","",$M170*(1-설정!$B$7))</f>
        <v/>
      </c>
      <c r="O170" s="23" t="str">
        <f aca="false">IF($B170="","",$N170-($G170*$E170+$H170))</f>
        <v/>
      </c>
      <c r="P170" s="24" t="str">
        <f aca="true">IF($B170="","",IF(AND($I170=설정!$A$11,$A170&lt;&gt;"",TODAY()-$A170&gt;=설정!$B$8),"지연!",""))</f>
        <v/>
      </c>
    </row>
    <row r="171" customFormat="false" ht="15" hidden="false" customHeight="false" outlineLevel="0" collapsed="false">
      <c r="A171" s="19"/>
      <c r="B171" s="20"/>
      <c r="C171" s="5"/>
      <c r="D171" s="5"/>
      <c r="E171" s="21"/>
      <c r="F171" s="22"/>
      <c r="G171" s="22"/>
      <c r="H171" s="22"/>
      <c r="I171" s="15"/>
      <c r="J171" s="19"/>
      <c r="K171" s="20"/>
      <c r="L171" s="20"/>
      <c r="M171" s="23" t="str">
        <f aca="false">IF($B171="","",$F171*$E171)</f>
        <v/>
      </c>
      <c r="N171" s="23" t="str">
        <f aca="false">IF($B171="","",$M171*(1-설정!$B$7))</f>
        <v/>
      </c>
      <c r="O171" s="23" t="str">
        <f aca="false">IF($B171="","",$N171-($G171*$E171+$H171))</f>
        <v/>
      </c>
      <c r="P171" s="24" t="str">
        <f aca="true">IF($B171="","",IF(AND($I171=설정!$A$11,$A171&lt;&gt;"",TODAY()-$A171&gt;=설정!$B$8),"지연!",""))</f>
        <v/>
      </c>
    </row>
    <row r="172" customFormat="false" ht="15" hidden="false" customHeight="false" outlineLevel="0" collapsed="false">
      <c r="A172" s="19"/>
      <c r="B172" s="20"/>
      <c r="C172" s="5"/>
      <c r="D172" s="5"/>
      <c r="E172" s="21"/>
      <c r="F172" s="22"/>
      <c r="G172" s="22"/>
      <c r="H172" s="22"/>
      <c r="I172" s="15"/>
      <c r="J172" s="19"/>
      <c r="K172" s="20"/>
      <c r="L172" s="20"/>
      <c r="M172" s="23" t="str">
        <f aca="false">IF($B172="","",$F172*$E172)</f>
        <v/>
      </c>
      <c r="N172" s="23" t="str">
        <f aca="false">IF($B172="","",$M172*(1-설정!$B$7))</f>
        <v/>
      </c>
      <c r="O172" s="23" t="str">
        <f aca="false">IF($B172="","",$N172-($G172*$E172+$H172))</f>
        <v/>
      </c>
      <c r="P172" s="24" t="str">
        <f aca="true">IF($B172="","",IF(AND($I172=설정!$A$11,$A172&lt;&gt;"",TODAY()-$A172&gt;=설정!$B$8),"지연!",""))</f>
        <v/>
      </c>
    </row>
    <row r="173" customFormat="false" ht="15" hidden="false" customHeight="false" outlineLevel="0" collapsed="false">
      <c r="A173" s="19"/>
      <c r="B173" s="20"/>
      <c r="C173" s="5"/>
      <c r="D173" s="5"/>
      <c r="E173" s="21"/>
      <c r="F173" s="22"/>
      <c r="G173" s="22"/>
      <c r="H173" s="22"/>
      <c r="I173" s="15"/>
      <c r="J173" s="19"/>
      <c r="K173" s="20"/>
      <c r="L173" s="20"/>
      <c r="M173" s="23" t="str">
        <f aca="false">IF($B173="","",$F173*$E173)</f>
        <v/>
      </c>
      <c r="N173" s="23" t="str">
        <f aca="false">IF($B173="","",$M173*(1-설정!$B$7))</f>
        <v/>
      </c>
      <c r="O173" s="23" t="str">
        <f aca="false">IF($B173="","",$N173-($G173*$E173+$H173))</f>
        <v/>
      </c>
      <c r="P173" s="24" t="str">
        <f aca="true">IF($B173="","",IF(AND($I173=설정!$A$11,$A173&lt;&gt;"",TODAY()-$A173&gt;=설정!$B$8),"지연!",""))</f>
        <v/>
      </c>
    </row>
    <row r="174" customFormat="false" ht="15" hidden="false" customHeight="false" outlineLevel="0" collapsed="false">
      <c r="A174" s="19"/>
      <c r="B174" s="20"/>
      <c r="C174" s="5"/>
      <c r="D174" s="5"/>
      <c r="E174" s="21"/>
      <c r="F174" s="22"/>
      <c r="G174" s="22"/>
      <c r="H174" s="22"/>
      <c r="I174" s="15"/>
      <c r="J174" s="19"/>
      <c r="K174" s="20"/>
      <c r="L174" s="20"/>
      <c r="M174" s="23" t="str">
        <f aca="false">IF($B174="","",$F174*$E174)</f>
        <v/>
      </c>
      <c r="N174" s="23" t="str">
        <f aca="false">IF($B174="","",$M174*(1-설정!$B$7))</f>
        <v/>
      </c>
      <c r="O174" s="23" t="str">
        <f aca="false">IF($B174="","",$N174-($G174*$E174+$H174))</f>
        <v/>
      </c>
      <c r="P174" s="24" t="str">
        <f aca="true">IF($B174="","",IF(AND($I174=설정!$A$11,$A174&lt;&gt;"",TODAY()-$A174&gt;=설정!$B$8),"지연!",""))</f>
        <v/>
      </c>
    </row>
    <row r="175" customFormat="false" ht="15" hidden="false" customHeight="false" outlineLevel="0" collapsed="false">
      <c r="A175" s="19"/>
      <c r="B175" s="20"/>
      <c r="C175" s="5"/>
      <c r="D175" s="5"/>
      <c r="E175" s="21"/>
      <c r="F175" s="22"/>
      <c r="G175" s="22"/>
      <c r="H175" s="22"/>
      <c r="I175" s="15"/>
      <c r="J175" s="19"/>
      <c r="K175" s="20"/>
      <c r="L175" s="20"/>
      <c r="M175" s="23" t="str">
        <f aca="false">IF($B175="","",$F175*$E175)</f>
        <v/>
      </c>
      <c r="N175" s="23" t="str">
        <f aca="false">IF($B175="","",$M175*(1-설정!$B$7))</f>
        <v/>
      </c>
      <c r="O175" s="23" t="str">
        <f aca="false">IF($B175="","",$N175-($G175*$E175+$H175))</f>
        <v/>
      </c>
      <c r="P175" s="24" t="str">
        <f aca="true">IF($B175="","",IF(AND($I175=설정!$A$11,$A175&lt;&gt;"",TODAY()-$A175&gt;=설정!$B$8),"지연!",""))</f>
        <v/>
      </c>
    </row>
    <row r="176" customFormat="false" ht="15" hidden="false" customHeight="false" outlineLevel="0" collapsed="false">
      <c r="A176" s="19"/>
      <c r="B176" s="20"/>
      <c r="C176" s="5"/>
      <c r="D176" s="5"/>
      <c r="E176" s="21"/>
      <c r="F176" s="22"/>
      <c r="G176" s="22"/>
      <c r="H176" s="22"/>
      <c r="I176" s="15"/>
      <c r="J176" s="19"/>
      <c r="K176" s="20"/>
      <c r="L176" s="20"/>
      <c r="M176" s="23" t="str">
        <f aca="false">IF($B176="","",$F176*$E176)</f>
        <v/>
      </c>
      <c r="N176" s="23" t="str">
        <f aca="false">IF($B176="","",$M176*(1-설정!$B$7))</f>
        <v/>
      </c>
      <c r="O176" s="23" t="str">
        <f aca="false">IF($B176="","",$N176-($G176*$E176+$H176))</f>
        <v/>
      </c>
      <c r="P176" s="24" t="str">
        <f aca="true">IF($B176="","",IF(AND($I176=설정!$A$11,$A176&lt;&gt;"",TODAY()-$A176&gt;=설정!$B$8),"지연!",""))</f>
        <v/>
      </c>
    </row>
    <row r="177" customFormat="false" ht="15" hidden="false" customHeight="false" outlineLevel="0" collapsed="false">
      <c r="A177" s="19"/>
      <c r="B177" s="20"/>
      <c r="C177" s="5"/>
      <c r="D177" s="5"/>
      <c r="E177" s="21"/>
      <c r="F177" s="22"/>
      <c r="G177" s="22"/>
      <c r="H177" s="22"/>
      <c r="I177" s="15"/>
      <c r="J177" s="19"/>
      <c r="K177" s="20"/>
      <c r="L177" s="20"/>
      <c r="M177" s="23" t="str">
        <f aca="false">IF($B177="","",$F177*$E177)</f>
        <v/>
      </c>
      <c r="N177" s="23" t="str">
        <f aca="false">IF($B177="","",$M177*(1-설정!$B$7))</f>
        <v/>
      </c>
      <c r="O177" s="23" t="str">
        <f aca="false">IF($B177="","",$N177-($G177*$E177+$H177))</f>
        <v/>
      </c>
      <c r="P177" s="24" t="str">
        <f aca="true">IF($B177="","",IF(AND($I177=설정!$A$11,$A177&lt;&gt;"",TODAY()-$A177&gt;=설정!$B$8),"지연!",""))</f>
        <v/>
      </c>
    </row>
    <row r="178" customFormat="false" ht="15" hidden="false" customHeight="false" outlineLevel="0" collapsed="false">
      <c r="A178" s="19"/>
      <c r="B178" s="20"/>
      <c r="C178" s="5"/>
      <c r="D178" s="5"/>
      <c r="E178" s="21"/>
      <c r="F178" s="22"/>
      <c r="G178" s="22"/>
      <c r="H178" s="22"/>
      <c r="I178" s="15"/>
      <c r="J178" s="19"/>
      <c r="K178" s="20"/>
      <c r="L178" s="20"/>
      <c r="M178" s="23" t="str">
        <f aca="false">IF($B178="","",$F178*$E178)</f>
        <v/>
      </c>
      <c r="N178" s="23" t="str">
        <f aca="false">IF($B178="","",$M178*(1-설정!$B$7))</f>
        <v/>
      </c>
      <c r="O178" s="23" t="str">
        <f aca="false">IF($B178="","",$N178-($G178*$E178+$H178))</f>
        <v/>
      </c>
      <c r="P178" s="24" t="str">
        <f aca="true">IF($B178="","",IF(AND($I178=설정!$A$11,$A178&lt;&gt;"",TODAY()-$A178&gt;=설정!$B$8),"지연!",""))</f>
        <v/>
      </c>
    </row>
    <row r="179" customFormat="false" ht="15" hidden="false" customHeight="false" outlineLevel="0" collapsed="false">
      <c r="A179" s="19"/>
      <c r="B179" s="20"/>
      <c r="C179" s="5"/>
      <c r="D179" s="5"/>
      <c r="E179" s="21"/>
      <c r="F179" s="22"/>
      <c r="G179" s="22"/>
      <c r="H179" s="22"/>
      <c r="I179" s="15"/>
      <c r="J179" s="19"/>
      <c r="K179" s="20"/>
      <c r="L179" s="20"/>
      <c r="M179" s="23" t="str">
        <f aca="false">IF($B179="","",$F179*$E179)</f>
        <v/>
      </c>
      <c r="N179" s="23" t="str">
        <f aca="false">IF($B179="","",$M179*(1-설정!$B$7))</f>
        <v/>
      </c>
      <c r="O179" s="23" t="str">
        <f aca="false">IF($B179="","",$N179-($G179*$E179+$H179))</f>
        <v/>
      </c>
      <c r="P179" s="24" t="str">
        <f aca="true">IF($B179="","",IF(AND($I179=설정!$A$11,$A179&lt;&gt;"",TODAY()-$A179&gt;=설정!$B$8),"지연!",""))</f>
        <v/>
      </c>
    </row>
    <row r="180" customFormat="false" ht="15" hidden="false" customHeight="false" outlineLevel="0" collapsed="false">
      <c r="A180" s="19"/>
      <c r="B180" s="20"/>
      <c r="C180" s="5"/>
      <c r="D180" s="5"/>
      <c r="E180" s="21"/>
      <c r="F180" s="22"/>
      <c r="G180" s="22"/>
      <c r="H180" s="22"/>
      <c r="I180" s="15"/>
      <c r="J180" s="19"/>
      <c r="K180" s="20"/>
      <c r="L180" s="20"/>
      <c r="M180" s="23" t="str">
        <f aca="false">IF($B180="","",$F180*$E180)</f>
        <v/>
      </c>
      <c r="N180" s="23" t="str">
        <f aca="false">IF($B180="","",$M180*(1-설정!$B$7))</f>
        <v/>
      </c>
      <c r="O180" s="23" t="str">
        <f aca="false">IF($B180="","",$N180-($G180*$E180+$H180))</f>
        <v/>
      </c>
      <c r="P180" s="24" t="str">
        <f aca="true">IF($B180="","",IF(AND($I180=설정!$A$11,$A180&lt;&gt;"",TODAY()-$A180&gt;=설정!$B$8),"지연!",""))</f>
        <v/>
      </c>
    </row>
    <row r="181" customFormat="false" ht="15" hidden="false" customHeight="false" outlineLevel="0" collapsed="false">
      <c r="A181" s="19"/>
      <c r="B181" s="20"/>
      <c r="C181" s="5"/>
      <c r="D181" s="5"/>
      <c r="E181" s="21"/>
      <c r="F181" s="22"/>
      <c r="G181" s="22"/>
      <c r="H181" s="22"/>
      <c r="I181" s="15"/>
      <c r="J181" s="19"/>
      <c r="K181" s="20"/>
      <c r="L181" s="20"/>
      <c r="M181" s="23" t="str">
        <f aca="false">IF($B181="","",$F181*$E181)</f>
        <v/>
      </c>
      <c r="N181" s="23" t="str">
        <f aca="false">IF($B181="","",$M181*(1-설정!$B$7))</f>
        <v/>
      </c>
      <c r="O181" s="23" t="str">
        <f aca="false">IF($B181="","",$N181-($G181*$E181+$H181))</f>
        <v/>
      </c>
      <c r="P181" s="24" t="str">
        <f aca="true">IF($B181="","",IF(AND($I181=설정!$A$11,$A181&lt;&gt;"",TODAY()-$A181&gt;=설정!$B$8),"지연!",""))</f>
        <v/>
      </c>
    </row>
    <row r="182" customFormat="false" ht="15" hidden="false" customHeight="false" outlineLevel="0" collapsed="false">
      <c r="A182" s="19"/>
      <c r="B182" s="20"/>
      <c r="C182" s="5"/>
      <c r="D182" s="5"/>
      <c r="E182" s="21"/>
      <c r="F182" s="22"/>
      <c r="G182" s="22"/>
      <c r="H182" s="22"/>
      <c r="I182" s="15"/>
      <c r="J182" s="19"/>
      <c r="K182" s="20"/>
      <c r="L182" s="20"/>
      <c r="M182" s="23" t="str">
        <f aca="false">IF($B182="","",$F182*$E182)</f>
        <v/>
      </c>
      <c r="N182" s="23" t="str">
        <f aca="false">IF($B182="","",$M182*(1-설정!$B$7))</f>
        <v/>
      </c>
      <c r="O182" s="23" t="str">
        <f aca="false">IF($B182="","",$N182-($G182*$E182+$H182))</f>
        <v/>
      </c>
      <c r="P182" s="24" t="str">
        <f aca="true">IF($B182="","",IF(AND($I182=설정!$A$11,$A182&lt;&gt;"",TODAY()-$A182&gt;=설정!$B$8),"지연!",""))</f>
        <v/>
      </c>
    </row>
    <row r="183" customFormat="false" ht="15" hidden="false" customHeight="false" outlineLevel="0" collapsed="false">
      <c r="A183" s="19"/>
      <c r="B183" s="20"/>
      <c r="C183" s="5"/>
      <c r="D183" s="5"/>
      <c r="E183" s="21"/>
      <c r="F183" s="22"/>
      <c r="G183" s="22"/>
      <c r="H183" s="22"/>
      <c r="I183" s="15"/>
      <c r="J183" s="19"/>
      <c r="K183" s="20"/>
      <c r="L183" s="20"/>
      <c r="M183" s="23" t="str">
        <f aca="false">IF($B183="","",$F183*$E183)</f>
        <v/>
      </c>
      <c r="N183" s="23" t="str">
        <f aca="false">IF($B183="","",$M183*(1-설정!$B$7))</f>
        <v/>
      </c>
      <c r="O183" s="23" t="str">
        <f aca="false">IF($B183="","",$N183-($G183*$E183+$H183))</f>
        <v/>
      </c>
      <c r="P183" s="24" t="str">
        <f aca="true">IF($B183="","",IF(AND($I183=설정!$A$11,$A183&lt;&gt;"",TODAY()-$A183&gt;=설정!$B$8),"지연!",""))</f>
        <v/>
      </c>
    </row>
    <row r="184" customFormat="false" ht="15" hidden="false" customHeight="false" outlineLevel="0" collapsed="false">
      <c r="A184" s="19"/>
      <c r="B184" s="20"/>
      <c r="C184" s="5"/>
      <c r="D184" s="5"/>
      <c r="E184" s="21"/>
      <c r="F184" s="22"/>
      <c r="G184" s="22"/>
      <c r="H184" s="22"/>
      <c r="I184" s="15"/>
      <c r="J184" s="19"/>
      <c r="K184" s="20"/>
      <c r="L184" s="20"/>
      <c r="M184" s="23" t="str">
        <f aca="false">IF($B184="","",$F184*$E184)</f>
        <v/>
      </c>
      <c r="N184" s="23" t="str">
        <f aca="false">IF($B184="","",$M184*(1-설정!$B$7))</f>
        <v/>
      </c>
      <c r="O184" s="23" t="str">
        <f aca="false">IF($B184="","",$N184-($G184*$E184+$H184))</f>
        <v/>
      </c>
      <c r="P184" s="24" t="str">
        <f aca="true">IF($B184="","",IF(AND($I184=설정!$A$11,$A184&lt;&gt;"",TODAY()-$A184&gt;=설정!$B$8),"지연!",""))</f>
        <v/>
      </c>
    </row>
    <row r="185" customFormat="false" ht="15" hidden="false" customHeight="false" outlineLevel="0" collapsed="false">
      <c r="A185" s="19"/>
      <c r="B185" s="20"/>
      <c r="C185" s="5"/>
      <c r="D185" s="5"/>
      <c r="E185" s="21"/>
      <c r="F185" s="22"/>
      <c r="G185" s="22"/>
      <c r="H185" s="22"/>
      <c r="I185" s="15"/>
      <c r="J185" s="19"/>
      <c r="K185" s="20"/>
      <c r="L185" s="20"/>
      <c r="M185" s="23" t="str">
        <f aca="false">IF($B185="","",$F185*$E185)</f>
        <v/>
      </c>
      <c r="N185" s="23" t="str">
        <f aca="false">IF($B185="","",$M185*(1-설정!$B$7))</f>
        <v/>
      </c>
      <c r="O185" s="23" t="str">
        <f aca="false">IF($B185="","",$N185-($G185*$E185+$H185))</f>
        <v/>
      </c>
      <c r="P185" s="24" t="str">
        <f aca="true">IF($B185="","",IF(AND($I185=설정!$A$11,$A185&lt;&gt;"",TODAY()-$A185&gt;=설정!$B$8),"지연!",""))</f>
        <v/>
      </c>
    </row>
    <row r="186" customFormat="false" ht="15" hidden="false" customHeight="false" outlineLevel="0" collapsed="false">
      <c r="A186" s="19"/>
      <c r="B186" s="20"/>
      <c r="C186" s="5"/>
      <c r="D186" s="5"/>
      <c r="E186" s="21"/>
      <c r="F186" s="22"/>
      <c r="G186" s="22"/>
      <c r="H186" s="22"/>
      <c r="I186" s="15"/>
      <c r="J186" s="19"/>
      <c r="K186" s="20"/>
      <c r="L186" s="20"/>
      <c r="M186" s="23" t="str">
        <f aca="false">IF($B186="","",$F186*$E186)</f>
        <v/>
      </c>
      <c r="N186" s="23" t="str">
        <f aca="false">IF($B186="","",$M186*(1-설정!$B$7))</f>
        <v/>
      </c>
      <c r="O186" s="23" t="str">
        <f aca="false">IF($B186="","",$N186-($G186*$E186+$H186))</f>
        <v/>
      </c>
      <c r="P186" s="24" t="str">
        <f aca="true">IF($B186="","",IF(AND($I186=설정!$A$11,$A186&lt;&gt;"",TODAY()-$A186&gt;=설정!$B$8),"지연!",""))</f>
        <v/>
      </c>
    </row>
    <row r="187" customFormat="false" ht="15" hidden="false" customHeight="false" outlineLevel="0" collapsed="false">
      <c r="A187" s="19"/>
      <c r="B187" s="20"/>
      <c r="C187" s="5"/>
      <c r="D187" s="5"/>
      <c r="E187" s="21"/>
      <c r="F187" s="22"/>
      <c r="G187" s="22"/>
      <c r="H187" s="22"/>
      <c r="I187" s="15"/>
      <c r="J187" s="19"/>
      <c r="K187" s="20"/>
      <c r="L187" s="20"/>
      <c r="M187" s="23" t="str">
        <f aca="false">IF($B187="","",$F187*$E187)</f>
        <v/>
      </c>
      <c r="N187" s="23" t="str">
        <f aca="false">IF($B187="","",$M187*(1-설정!$B$7))</f>
        <v/>
      </c>
      <c r="O187" s="23" t="str">
        <f aca="false">IF($B187="","",$N187-($G187*$E187+$H187))</f>
        <v/>
      </c>
      <c r="P187" s="24" t="str">
        <f aca="true">IF($B187="","",IF(AND($I187=설정!$A$11,$A187&lt;&gt;"",TODAY()-$A187&gt;=설정!$B$8),"지연!",""))</f>
        <v/>
      </c>
    </row>
    <row r="188" customFormat="false" ht="15" hidden="false" customHeight="false" outlineLevel="0" collapsed="false">
      <c r="A188" s="19"/>
      <c r="B188" s="20"/>
      <c r="C188" s="5"/>
      <c r="D188" s="5"/>
      <c r="E188" s="21"/>
      <c r="F188" s="22"/>
      <c r="G188" s="22"/>
      <c r="H188" s="22"/>
      <c r="I188" s="15"/>
      <c r="J188" s="19"/>
      <c r="K188" s="20"/>
      <c r="L188" s="20"/>
      <c r="M188" s="23" t="str">
        <f aca="false">IF($B188="","",$F188*$E188)</f>
        <v/>
      </c>
      <c r="N188" s="23" t="str">
        <f aca="false">IF($B188="","",$M188*(1-설정!$B$7))</f>
        <v/>
      </c>
      <c r="O188" s="23" t="str">
        <f aca="false">IF($B188="","",$N188-($G188*$E188+$H188))</f>
        <v/>
      </c>
      <c r="P188" s="24" t="str">
        <f aca="true">IF($B188="","",IF(AND($I188=설정!$A$11,$A188&lt;&gt;"",TODAY()-$A188&gt;=설정!$B$8),"지연!",""))</f>
        <v/>
      </c>
    </row>
    <row r="189" customFormat="false" ht="15" hidden="false" customHeight="false" outlineLevel="0" collapsed="false">
      <c r="A189" s="19"/>
      <c r="B189" s="20"/>
      <c r="C189" s="5"/>
      <c r="D189" s="5"/>
      <c r="E189" s="21"/>
      <c r="F189" s="22"/>
      <c r="G189" s="22"/>
      <c r="H189" s="22"/>
      <c r="I189" s="15"/>
      <c r="J189" s="19"/>
      <c r="K189" s="20"/>
      <c r="L189" s="20"/>
      <c r="M189" s="23" t="str">
        <f aca="false">IF($B189="","",$F189*$E189)</f>
        <v/>
      </c>
      <c r="N189" s="23" t="str">
        <f aca="false">IF($B189="","",$M189*(1-설정!$B$7))</f>
        <v/>
      </c>
      <c r="O189" s="23" t="str">
        <f aca="false">IF($B189="","",$N189-($G189*$E189+$H189))</f>
        <v/>
      </c>
      <c r="P189" s="24" t="str">
        <f aca="true">IF($B189="","",IF(AND($I189=설정!$A$11,$A189&lt;&gt;"",TODAY()-$A189&gt;=설정!$B$8),"지연!",""))</f>
        <v/>
      </c>
    </row>
    <row r="190" customFormat="false" ht="15" hidden="false" customHeight="false" outlineLevel="0" collapsed="false">
      <c r="A190" s="19"/>
      <c r="B190" s="20"/>
      <c r="C190" s="5"/>
      <c r="D190" s="5"/>
      <c r="E190" s="21"/>
      <c r="F190" s="22"/>
      <c r="G190" s="22"/>
      <c r="H190" s="22"/>
      <c r="I190" s="15"/>
      <c r="J190" s="19"/>
      <c r="K190" s="20"/>
      <c r="L190" s="20"/>
      <c r="M190" s="23" t="str">
        <f aca="false">IF($B190="","",$F190*$E190)</f>
        <v/>
      </c>
      <c r="N190" s="23" t="str">
        <f aca="false">IF($B190="","",$M190*(1-설정!$B$7))</f>
        <v/>
      </c>
      <c r="O190" s="23" t="str">
        <f aca="false">IF($B190="","",$N190-($G190*$E190+$H190))</f>
        <v/>
      </c>
      <c r="P190" s="24" t="str">
        <f aca="true">IF($B190="","",IF(AND($I190=설정!$A$11,$A190&lt;&gt;"",TODAY()-$A190&gt;=설정!$B$8),"지연!",""))</f>
        <v/>
      </c>
    </row>
    <row r="191" customFormat="false" ht="15" hidden="false" customHeight="false" outlineLevel="0" collapsed="false">
      <c r="A191" s="19"/>
      <c r="B191" s="20"/>
      <c r="C191" s="5"/>
      <c r="D191" s="5"/>
      <c r="E191" s="21"/>
      <c r="F191" s="22"/>
      <c r="G191" s="22"/>
      <c r="H191" s="22"/>
      <c r="I191" s="15"/>
      <c r="J191" s="19"/>
      <c r="K191" s="20"/>
      <c r="L191" s="20"/>
      <c r="M191" s="23" t="str">
        <f aca="false">IF($B191="","",$F191*$E191)</f>
        <v/>
      </c>
      <c r="N191" s="23" t="str">
        <f aca="false">IF($B191="","",$M191*(1-설정!$B$7))</f>
        <v/>
      </c>
      <c r="O191" s="23" t="str">
        <f aca="false">IF($B191="","",$N191-($G191*$E191+$H191))</f>
        <v/>
      </c>
      <c r="P191" s="24" t="str">
        <f aca="true">IF($B191="","",IF(AND($I191=설정!$A$11,$A191&lt;&gt;"",TODAY()-$A191&gt;=설정!$B$8),"지연!",""))</f>
        <v/>
      </c>
    </row>
    <row r="192" customFormat="false" ht="15" hidden="false" customHeight="false" outlineLevel="0" collapsed="false">
      <c r="A192" s="19"/>
      <c r="B192" s="20"/>
      <c r="C192" s="5"/>
      <c r="D192" s="5"/>
      <c r="E192" s="21"/>
      <c r="F192" s="22"/>
      <c r="G192" s="22"/>
      <c r="H192" s="22"/>
      <c r="I192" s="15"/>
      <c r="J192" s="19"/>
      <c r="K192" s="20"/>
      <c r="L192" s="20"/>
      <c r="M192" s="23" t="str">
        <f aca="false">IF($B192="","",$F192*$E192)</f>
        <v/>
      </c>
      <c r="N192" s="23" t="str">
        <f aca="false">IF($B192="","",$M192*(1-설정!$B$7))</f>
        <v/>
      </c>
      <c r="O192" s="23" t="str">
        <f aca="false">IF($B192="","",$N192-($G192*$E192+$H192))</f>
        <v/>
      </c>
      <c r="P192" s="24" t="str">
        <f aca="true">IF($B192="","",IF(AND($I192=설정!$A$11,$A192&lt;&gt;"",TODAY()-$A192&gt;=설정!$B$8),"지연!",""))</f>
        <v/>
      </c>
    </row>
    <row r="193" customFormat="false" ht="15" hidden="false" customHeight="false" outlineLevel="0" collapsed="false">
      <c r="A193" s="19"/>
      <c r="B193" s="20"/>
      <c r="C193" s="5"/>
      <c r="D193" s="5"/>
      <c r="E193" s="21"/>
      <c r="F193" s="22"/>
      <c r="G193" s="22"/>
      <c r="H193" s="22"/>
      <c r="I193" s="15"/>
      <c r="J193" s="19"/>
      <c r="K193" s="20"/>
      <c r="L193" s="20"/>
      <c r="M193" s="23" t="str">
        <f aca="false">IF($B193="","",$F193*$E193)</f>
        <v/>
      </c>
      <c r="N193" s="23" t="str">
        <f aca="false">IF($B193="","",$M193*(1-설정!$B$7))</f>
        <v/>
      </c>
      <c r="O193" s="23" t="str">
        <f aca="false">IF($B193="","",$N193-($G193*$E193+$H193))</f>
        <v/>
      </c>
      <c r="P193" s="24" t="str">
        <f aca="true">IF($B193="","",IF(AND($I193=설정!$A$11,$A193&lt;&gt;"",TODAY()-$A193&gt;=설정!$B$8),"지연!",""))</f>
        <v/>
      </c>
    </row>
    <row r="194" customFormat="false" ht="15" hidden="false" customHeight="false" outlineLevel="0" collapsed="false">
      <c r="A194" s="19"/>
      <c r="B194" s="20"/>
      <c r="C194" s="5"/>
      <c r="D194" s="5"/>
      <c r="E194" s="21"/>
      <c r="F194" s="22"/>
      <c r="G194" s="22"/>
      <c r="H194" s="22"/>
      <c r="I194" s="15"/>
      <c r="J194" s="19"/>
      <c r="K194" s="20"/>
      <c r="L194" s="20"/>
      <c r="M194" s="23" t="str">
        <f aca="false">IF($B194="","",$F194*$E194)</f>
        <v/>
      </c>
      <c r="N194" s="23" t="str">
        <f aca="false">IF($B194="","",$M194*(1-설정!$B$7))</f>
        <v/>
      </c>
      <c r="O194" s="23" t="str">
        <f aca="false">IF($B194="","",$N194-($G194*$E194+$H194))</f>
        <v/>
      </c>
      <c r="P194" s="24" t="str">
        <f aca="true">IF($B194="","",IF(AND($I194=설정!$A$11,$A194&lt;&gt;"",TODAY()-$A194&gt;=설정!$B$8),"지연!",""))</f>
        <v/>
      </c>
    </row>
    <row r="195" customFormat="false" ht="15" hidden="false" customHeight="false" outlineLevel="0" collapsed="false">
      <c r="A195" s="19"/>
      <c r="B195" s="20"/>
      <c r="C195" s="5"/>
      <c r="D195" s="5"/>
      <c r="E195" s="21"/>
      <c r="F195" s="22"/>
      <c r="G195" s="22"/>
      <c r="H195" s="22"/>
      <c r="I195" s="15"/>
      <c r="J195" s="19"/>
      <c r="K195" s="20"/>
      <c r="L195" s="20"/>
      <c r="M195" s="23" t="str">
        <f aca="false">IF($B195="","",$F195*$E195)</f>
        <v/>
      </c>
      <c r="N195" s="23" t="str">
        <f aca="false">IF($B195="","",$M195*(1-설정!$B$7))</f>
        <v/>
      </c>
      <c r="O195" s="23" t="str">
        <f aca="false">IF($B195="","",$N195-($G195*$E195+$H195))</f>
        <v/>
      </c>
      <c r="P195" s="24" t="str">
        <f aca="true">IF($B195="","",IF(AND($I195=설정!$A$11,$A195&lt;&gt;"",TODAY()-$A195&gt;=설정!$B$8),"지연!",""))</f>
        <v/>
      </c>
    </row>
    <row r="196" customFormat="false" ht="15" hidden="false" customHeight="false" outlineLevel="0" collapsed="false">
      <c r="A196" s="19"/>
      <c r="B196" s="20"/>
      <c r="C196" s="5"/>
      <c r="D196" s="5"/>
      <c r="E196" s="21"/>
      <c r="F196" s="22"/>
      <c r="G196" s="22"/>
      <c r="H196" s="22"/>
      <c r="I196" s="15"/>
      <c r="J196" s="19"/>
      <c r="K196" s="20"/>
      <c r="L196" s="20"/>
      <c r="M196" s="23" t="str">
        <f aca="false">IF($B196="","",$F196*$E196)</f>
        <v/>
      </c>
      <c r="N196" s="23" t="str">
        <f aca="false">IF($B196="","",$M196*(1-설정!$B$7))</f>
        <v/>
      </c>
      <c r="O196" s="23" t="str">
        <f aca="false">IF($B196="","",$N196-($G196*$E196+$H196))</f>
        <v/>
      </c>
      <c r="P196" s="24" t="str">
        <f aca="true">IF($B196="","",IF(AND($I196=설정!$A$11,$A196&lt;&gt;"",TODAY()-$A196&gt;=설정!$B$8),"지연!",""))</f>
        <v/>
      </c>
    </row>
    <row r="197" customFormat="false" ht="15" hidden="false" customHeight="false" outlineLevel="0" collapsed="false">
      <c r="A197" s="19"/>
      <c r="B197" s="20"/>
      <c r="C197" s="5"/>
      <c r="D197" s="5"/>
      <c r="E197" s="21"/>
      <c r="F197" s="22"/>
      <c r="G197" s="22"/>
      <c r="H197" s="22"/>
      <c r="I197" s="15"/>
      <c r="J197" s="19"/>
      <c r="K197" s="20"/>
      <c r="L197" s="20"/>
      <c r="M197" s="23" t="str">
        <f aca="false">IF($B197="","",$F197*$E197)</f>
        <v/>
      </c>
      <c r="N197" s="23" t="str">
        <f aca="false">IF($B197="","",$M197*(1-설정!$B$7))</f>
        <v/>
      </c>
      <c r="O197" s="23" t="str">
        <f aca="false">IF($B197="","",$N197-($G197*$E197+$H197))</f>
        <v/>
      </c>
      <c r="P197" s="24" t="str">
        <f aca="true">IF($B197="","",IF(AND($I197=설정!$A$11,$A197&lt;&gt;"",TODAY()-$A197&gt;=설정!$B$8),"지연!",""))</f>
        <v/>
      </c>
    </row>
    <row r="198" customFormat="false" ht="15" hidden="false" customHeight="false" outlineLevel="0" collapsed="false">
      <c r="A198" s="19"/>
      <c r="B198" s="20"/>
      <c r="C198" s="5"/>
      <c r="D198" s="5"/>
      <c r="E198" s="21"/>
      <c r="F198" s="22"/>
      <c r="G198" s="22"/>
      <c r="H198" s="22"/>
      <c r="I198" s="15"/>
      <c r="J198" s="19"/>
      <c r="K198" s="20"/>
      <c r="L198" s="20"/>
      <c r="M198" s="23" t="str">
        <f aca="false">IF($B198="","",$F198*$E198)</f>
        <v/>
      </c>
      <c r="N198" s="23" t="str">
        <f aca="false">IF($B198="","",$M198*(1-설정!$B$7))</f>
        <v/>
      </c>
      <c r="O198" s="23" t="str">
        <f aca="false">IF($B198="","",$N198-($G198*$E198+$H198))</f>
        <v/>
      </c>
      <c r="P198" s="24" t="str">
        <f aca="true">IF($B198="","",IF(AND($I198=설정!$A$11,$A198&lt;&gt;"",TODAY()-$A198&gt;=설정!$B$8),"지연!",""))</f>
        <v/>
      </c>
    </row>
    <row r="199" customFormat="false" ht="15" hidden="false" customHeight="false" outlineLevel="0" collapsed="false">
      <c r="A199" s="19"/>
      <c r="B199" s="20"/>
      <c r="C199" s="5"/>
      <c r="D199" s="5"/>
      <c r="E199" s="21"/>
      <c r="F199" s="22"/>
      <c r="G199" s="22"/>
      <c r="H199" s="22"/>
      <c r="I199" s="15"/>
      <c r="J199" s="19"/>
      <c r="K199" s="20"/>
      <c r="L199" s="20"/>
      <c r="M199" s="23" t="str">
        <f aca="false">IF($B199="","",$F199*$E199)</f>
        <v/>
      </c>
      <c r="N199" s="23" t="str">
        <f aca="false">IF($B199="","",$M199*(1-설정!$B$7))</f>
        <v/>
      </c>
      <c r="O199" s="23" t="str">
        <f aca="false">IF($B199="","",$N199-($G199*$E199+$H199))</f>
        <v/>
      </c>
      <c r="P199" s="24" t="str">
        <f aca="true">IF($B199="","",IF(AND($I199=설정!$A$11,$A199&lt;&gt;"",TODAY()-$A199&gt;=설정!$B$8),"지연!",""))</f>
        <v/>
      </c>
    </row>
    <row r="200" customFormat="false" ht="15" hidden="false" customHeight="false" outlineLevel="0" collapsed="false">
      <c r="A200" s="19"/>
      <c r="B200" s="20"/>
      <c r="C200" s="5"/>
      <c r="D200" s="5"/>
      <c r="E200" s="21"/>
      <c r="F200" s="22"/>
      <c r="G200" s="22"/>
      <c r="H200" s="22"/>
      <c r="I200" s="15"/>
      <c r="J200" s="19"/>
      <c r="K200" s="20"/>
      <c r="L200" s="20"/>
      <c r="M200" s="23" t="str">
        <f aca="false">IF($B200="","",$F200*$E200)</f>
        <v/>
      </c>
      <c r="N200" s="23" t="str">
        <f aca="false">IF($B200="","",$M200*(1-설정!$B$7))</f>
        <v/>
      </c>
      <c r="O200" s="23" t="str">
        <f aca="false">IF($B200="","",$N200-($G200*$E200+$H200))</f>
        <v/>
      </c>
      <c r="P200" s="24" t="str">
        <f aca="true">IF($B200="","",IF(AND($I200=설정!$A$11,$A200&lt;&gt;"",TODAY()-$A200&gt;=설정!$B$8),"지연!",""))</f>
        <v/>
      </c>
    </row>
    <row r="201" customFormat="false" ht="15" hidden="false" customHeight="false" outlineLevel="0" collapsed="false">
      <c r="A201" s="19"/>
      <c r="B201" s="20"/>
      <c r="C201" s="5"/>
      <c r="D201" s="5"/>
      <c r="E201" s="21"/>
      <c r="F201" s="22"/>
      <c r="G201" s="22"/>
      <c r="H201" s="22"/>
      <c r="I201" s="15"/>
      <c r="J201" s="19"/>
      <c r="K201" s="20"/>
      <c r="L201" s="20"/>
      <c r="M201" s="23" t="str">
        <f aca="false">IF($B201="","",$F201*$E201)</f>
        <v/>
      </c>
      <c r="N201" s="23" t="str">
        <f aca="false">IF($B201="","",$M201*(1-설정!$B$7))</f>
        <v/>
      </c>
      <c r="O201" s="23" t="str">
        <f aca="false">IF($B201="","",$N201-($G201*$E201+$H201))</f>
        <v/>
      </c>
      <c r="P201" s="24" t="str">
        <f aca="true">IF($B201="","",IF(AND($I201=설정!$A$11,$A201&lt;&gt;"",TODAY()-$A201&gt;=설정!$B$8),"지연!",""))</f>
        <v/>
      </c>
    </row>
    <row r="202" customFormat="false" ht="15" hidden="false" customHeight="false" outlineLevel="0" collapsed="false">
      <c r="A202" s="19"/>
      <c r="B202" s="20"/>
      <c r="C202" s="5"/>
      <c r="D202" s="5"/>
      <c r="E202" s="21"/>
      <c r="F202" s="22"/>
      <c r="G202" s="22"/>
      <c r="H202" s="22"/>
      <c r="I202" s="15"/>
      <c r="J202" s="19"/>
      <c r="K202" s="20"/>
      <c r="L202" s="20"/>
      <c r="M202" s="23" t="str">
        <f aca="false">IF($B202="","",$F202*$E202)</f>
        <v/>
      </c>
      <c r="N202" s="23" t="str">
        <f aca="false">IF($B202="","",$M202*(1-설정!$B$7))</f>
        <v/>
      </c>
      <c r="O202" s="23" t="str">
        <f aca="false">IF($B202="","",$N202-($G202*$E202+$H202))</f>
        <v/>
      </c>
      <c r="P202" s="24" t="str">
        <f aca="true">IF($B202="","",IF(AND($I202=설정!$A$11,$A202&lt;&gt;"",TODAY()-$A202&gt;=설정!$B$8),"지연!",""))</f>
        <v/>
      </c>
    </row>
    <row r="203" customFormat="false" ht="15" hidden="false" customHeight="false" outlineLevel="0" collapsed="false">
      <c r="A203" s="19"/>
      <c r="B203" s="20"/>
      <c r="C203" s="5"/>
      <c r="D203" s="5"/>
      <c r="E203" s="21"/>
      <c r="F203" s="22"/>
      <c r="G203" s="22"/>
      <c r="H203" s="22"/>
      <c r="I203" s="15"/>
      <c r="J203" s="19"/>
      <c r="K203" s="20"/>
      <c r="L203" s="20"/>
      <c r="M203" s="23" t="str">
        <f aca="false">IF($B203="","",$F203*$E203)</f>
        <v/>
      </c>
      <c r="N203" s="23" t="str">
        <f aca="false">IF($B203="","",$M203*(1-설정!$B$7))</f>
        <v/>
      </c>
      <c r="O203" s="23" t="str">
        <f aca="false">IF($B203="","",$N203-($G203*$E203+$H203))</f>
        <v/>
      </c>
      <c r="P203" s="24" t="str">
        <f aca="true">IF($B203="","",IF(AND($I203=설정!$A$11,$A203&lt;&gt;"",TODAY()-$A203&gt;=설정!$B$8),"지연!",""))</f>
        <v/>
      </c>
    </row>
    <row r="204" customFormat="false" ht="15" hidden="false" customHeight="false" outlineLevel="0" collapsed="false">
      <c r="A204" s="19"/>
      <c r="B204" s="20"/>
      <c r="C204" s="5"/>
      <c r="D204" s="5"/>
      <c r="E204" s="21"/>
      <c r="F204" s="22"/>
      <c r="G204" s="22"/>
      <c r="H204" s="22"/>
      <c r="I204" s="15"/>
      <c r="J204" s="19"/>
      <c r="K204" s="20"/>
      <c r="L204" s="20"/>
      <c r="M204" s="23" t="str">
        <f aca="false">IF($B204="","",$F204*$E204)</f>
        <v/>
      </c>
      <c r="N204" s="23" t="str">
        <f aca="false">IF($B204="","",$M204*(1-설정!$B$7))</f>
        <v/>
      </c>
      <c r="O204" s="23" t="str">
        <f aca="false">IF($B204="","",$N204-($G204*$E204+$H204))</f>
        <v/>
      </c>
      <c r="P204" s="24" t="str">
        <f aca="true">IF($B204="","",IF(AND($I204=설정!$A$11,$A204&lt;&gt;"",TODAY()-$A204&gt;=설정!$B$8),"지연!",""))</f>
        <v/>
      </c>
    </row>
    <row r="205" customFormat="false" ht="15" hidden="false" customHeight="false" outlineLevel="0" collapsed="false">
      <c r="A205" s="19"/>
      <c r="B205" s="20"/>
      <c r="C205" s="5"/>
      <c r="D205" s="5"/>
      <c r="E205" s="21"/>
      <c r="F205" s="22"/>
      <c r="G205" s="22"/>
      <c r="H205" s="22"/>
      <c r="I205" s="15"/>
      <c r="J205" s="19"/>
      <c r="K205" s="20"/>
      <c r="L205" s="20"/>
      <c r="M205" s="23" t="str">
        <f aca="false">IF($B205="","",$F205*$E205)</f>
        <v/>
      </c>
      <c r="N205" s="23" t="str">
        <f aca="false">IF($B205="","",$M205*(1-설정!$B$7))</f>
        <v/>
      </c>
      <c r="O205" s="23" t="str">
        <f aca="false">IF($B205="","",$N205-($G205*$E205+$H205))</f>
        <v/>
      </c>
      <c r="P205" s="24" t="str">
        <f aca="true">IF($B205="","",IF(AND($I205=설정!$A$11,$A205&lt;&gt;"",TODAY()-$A205&gt;=설정!$B$8),"지연!",""))</f>
        <v/>
      </c>
    </row>
    <row r="206" customFormat="false" ht="15" hidden="false" customHeight="false" outlineLevel="0" collapsed="false">
      <c r="A206" s="19"/>
      <c r="B206" s="20"/>
      <c r="C206" s="5"/>
      <c r="D206" s="5"/>
      <c r="E206" s="21"/>
      <c r="F206" s="22"/>
      <c r="G206" s="22"/>
      <c r="H206" s="22"/>
      <c r="I206" s="15"/>
      <c r="J206" s="19"/>
      <c r="K206" s="20"/>
      <c r="L206" s="20"/>
      <c r="M206" s="23" t="str">
        <f aca="false">IF($B206="","",$F206*$E206)</f>
        <v/>
      </c>
      <c r="N206" s="23" t="str">
        <f aca="false">IF($B206="","",$M206*(1-설정!$B$7))</f>
        <v/>
      </c>
      <c r="O206" s="23" t="str">
        <f aca="false">IF($B206="","",$N206-($G206*$E206+$H206))</f>
        <v/>
      </c>
      <c r="P206" s="24" t="str">
        <f aca="true">IF($B206="","",IF(AND($I206=설정!$A$11,$A206&lt;&gt;"",TODAY()-$A206&gt;=설정!$B$8),"지연!",""))</f>
        <v/>
      </c>
    </row>
    <row r="207" customFormat="false" ht="15" hidden="false" customHeight="false" outlineLevel="0" collapsed="false">
      <c r="A207" s="19"/>
      <c r="B207" s="20"/>
      <c r="C207" s="5"/>
      <c r="D207" s="5"/>
      <c r="E207" s="21"/>
      <c r="F207" s="22"/>
      <c r="G207" s="22"/>
      <c r="H207" s="22"/>
      <c r="I207" s="15"/>
      <c r="J207" s="19"/>
      <c r="K207" s="20"/>
      <c r="L207" s="20"/>
      <c r="M207" s="23" t="str">
        <f aca="false">IF($B207="","",$F207*$E207)</f>
        <v/>
      </c>
      <c r="N207" s="23" t="str">
        <f aca="false">IF($B207="","",$M207*(1-설정!$B$7))</f>
        <v/>
      </c>
      <c r="O207" s="23" t="str">
        <f aca="false">IF($B207="","",$N207-($G207*$E207+$H207))</f>
        <v/>
      </c>
      <c r="P207" s="24" t="str">
        <f aca="true">IF($B207="","",IF(AND($I207=설정!$A$11,$A207&lt;&gt;"",TODAY()-$A207&gt;=설정!$B$8),"지연!",""))</f>
        <v/>
      </c>
    </row>
    <row r="208" customFormat="false" ht="15" hidden="false" customHeight="false" outlineLevel="0" collapsed="false">
      <c r="A208" s="19"/>
      <c r="B208" s="20"/>
      <c r="C208" s="5"/>
      <c r="D208" s="5"/>
      <c r="E208" s="21"/>
      <c r="F208" s="22"/>
      <c r="G208" s="22"/>
      <c r="H208" s="22"/>
      <c r="I208" s="15"/>
      <c r="J208" s="19"/>
      <c r="K208" s="20"/>
      <c r="L208" s="20"/>
      <c r="M208" s="23" t="str">
        <f aca="false">IF($B208="","",$F208*$E208)</f>
        <v/>
      </c>
      <c r="N208" s="23" t="str">
        <f aca="false">IF($B208="","",$M208*(1-설정!$B$7))</f>
        <v/>
      </c>
      <c r="O208" s="23" t="str">
        <f aca="false">IF($B208="","",$N208-($G208*$E208+$H208))</f>
        <v/>
      </c>
      <c r="P208" s="24" t="str">
        <f aca="true">IF($B208="","",IF(AND($I208=설정!$A$11,$A208&lt;&gt;"",TODAY()-$A208&gt;=설정!$B$8),"지연!",""))</f>
        <v/>
      </c>
    </row>
    <row r="209" customFormat="false" ht="15" hidden="false" customHeight="false" outlineLevel="0" collapsed="false">
      <c r="A209" s="19"/>
      <c r="B209" s="20"/>
      <c r="C209" s="5"/>
      <c r="D209" s="5"/>
      <c r="E209" s="21"/>
      <c r="F209" s="22"/>
      <c r="G209" s="22"/>
      <c r="H209" s="22"/>
      <c r="I209" s="15"/>
      <c r="J209" s="19"/>
      <c r="K209" s="20"/>
      <c r="L209" s="20"/>
      <c r="M209" s="23" t="str">
        <f aca="false">IF($B209="","",$F209*$E209)</f>
        <v/>
      </c>
      <c r="N209" s="23" t="str">
        <f aca="false">IF($B209="","",$M209*(1-설정!$B$7))</f>
        <v/>
      </c>
      <c r="O209" s="23" t="str">
        <f aca="false">IF($B209="","",$N209-($G209*$E209+$H209))</f>
        <v/>
      </c>
      <c r="P209" s="24" t="str">
        <f aca="true">IF($B209="","",IF(AND($I209=설정!$A$11,$A209&lt;&gt;"",TODAY()-$A209&gt;=설정!$B$8),"지연!",""))</f>
        <v/>
      </c>
    </row>
    <row r="210" customFormat="false" ht="15" hidden="false" customHeight="false" outlineLevel="0" collapsed="false">
      <c r="A210" s="19"/>
      <c r="B210" s="20"/>
      <c r="C210" s="5"/>
      <c r="D210" s="5"/>
      <c r="E210" s="21"/>
      <c r="F210" s="22"/>
      <c r="G210" s="22"/>
      <c r="H210" s="22"/>
      <c r="I210" s="15"/>
      <c r="J210" s="19"/>
      <c r="K210" s="20"/>
      <c r="L210" s="20"/>
      <c r="M210" s="23" t="str">
        <f aca="false">IF($B210="","",$F210*$E210)</f>
        <v/>
      </c>
      <c r="N210" s="23" t="str">
        <f aca="false">IF($B210="","",$M210*(1-설정!$B$7))</f>
        <v/>
      </c>
      <c r="O210" s="23" t="str">
        <f aca="false">IF($B210="","",$N210-($G210*$E210+$H210))</f>
        <v/>
      </c>
      <c r="P210" s="24" t="str">
        <f aca="true">IF($B210="","",IF(AND($I210=설정!$A$11,$A210&lt;&gt;"",TODAY()-$A210&gt;=설정!$B$8),"지연!",""))</f>
        <v/>
      </c>
    </row>
    <row r="211" customFormat="false" ht="15" hidden="false" customHeight="false" outlineLevel="0" collapsed="false">
      <c r="A211" s="19"/>
      <c r="B211" s="20"/>
      <c r="C211" s="5"/>
      <c r="D211" s="5"/>
      <c r="E211" s="21"/>
      <c r="F211" s="22"/>
      <c r="G211" s="22"/>
      <c r="H211" s="22"/>
      <c r="I211" s="15"/>
      <c r="J211" s="19"/>
      <c r="K211" s="20"/>
      <c r="L211" s="20"/>
      <c r="M211" s="23" t="str">
        <f aca="false">IF($B211="","",$F211*$E211)</f>
        <v/>
      </c>
      <c r="N211" s="23" t="str">
        <f aca="false">IF($B211="","",$M211*(1-설정!$B$7))</f>
        <v/>
      </c>
      <c r="O211" s="23" t="str">
        <f aca="false">IF($B211="","",$N211-($G211*$E211+$H211))</f>
        <v/>
      </c>
      <c r="P211" s="24" t="str">
        <f aca="true">IF($B211="","",IF(AND($I211=설정!$A$11,$A211&lt;&gt;"",TODAY()-$A211&gt;=설정!$B$8),"지연!",""))</f>
        <v/>
      </c>
    </row>
    <row r="212" customFormat="false" ht="15" hidden="false" customHeight="false" outlineLevel="0" collapsed="false">
      <c r="A212" s="19"/>
      <c r="B212" s="20"/>
      <c r="C212" s="5"/>
      <c r="D212" s="5"/>
      <c r="E212" s="21"/>
      <c r="F212" s="22"/>
      <c r="G212" s="22"/>
      <c r="H212" s="22"/>
      <c r="I212" s="15"/>
      <c r="J212" s="19"/>
      <c r="K212" s="20"/>
      <c r="L212" s="20"/>
      <c r="M212" s="23" t="str">
        <f aca="false">IF($B212="","",$F212*$E212)</f>
        <v/>
      </c>
      <c r="N212" s="23" t="str">
        <f aca="false">IF($B212="","",$M212*(1-설정!$B$7))</f>
        <v/>
      </c>
      <c r="O212" s="23" t="str">
        <f aca="false">IF($B212="","",$N212-($G212*$E212+$H212))</f>
        <v/>
      </c>
      <c r="P212" s="24" t="str">
        <f aca="true">IF($B212="","",IF(AND($I212=설정!$A$11,$A212&lt;&gt;"",TODAY()-$A212&gt;=설정!$B$8),"지연!",""))</f>
        <v/>
      </c>
    </row>
    <row r="213" customFormat="false" ht="15" hidden="false" customHeight="false" outlineLevel="0" collapsed="false">
      <c r="A213" s="19"/>
      <c r="B213" s="20"/>
      <c r="C213" s="5"/>
      <c r="D213" s="5"/>
      <c r="E213" s="21"/>
      <c r="F213" s="22"/>
      <c r="G213" s="22"/>
      <c r="H213" s="22"/>
      <c r="I213" s="15"/>
      <c r="J213" s="19"/>
      <c r="K213" s="20"/>
      <c r="L213" s="20"/>
      <c r="M213" s="23" t="str">
        <f aca="false">IF($B213="","",$F213*$E213)</f>
        <v/>
      </c>
      <c r="N213" s="23" t="str">
        <f aca="false">IF($B213="","",$M213*(1-설정!$B$7))</f>
        <v/>
      </c>
      <c r="O213" s="23" t="str">
        <f aca="false">IF($B213="","",$N213-($G213*$E213+$H213))</f>
        <v/>
      </c>
      <c r="P213" s="24" t="str">
        <f aca="true">IF($B213="","",IF(AND($I213=설정!$A$11,$A213&lt;&gt;"",TODAY()-$A213&gt;=설정!$B$8),"지연!",""))</f>
        <v/>
      </c>
    </row>
    <row r="214" customFormat="false" ht="15" hidden="false" customHeight="false" outlineLevel="0" collapsed="false">
      <c r="A214" s="19"/>
      <c r="B214" s="20"/>
      <c r="C214" s="5"/>
      <c r="D214" s="5"/>
      <c r="E214" s="21"/>
      <c r="F214" s="22"/>
      <c r="G214" s="22"/>
      <c r="H214" s="22"/>
      <c r="I214" s="15"/>
      <c r="J214" s="19"/>
      <c r="K214" s="20"/>
      <c r="L214" s="20"/>
      <c r="M214" s="23" t="str">
        <f aca="false">IF($B214="","",$F214*$E214)</f>
        <v/>
      </c>
      <c r="N214" s="23" t="str">
        <f aca="false">IF($B214="","",$M214*(1-설정!$B$7))</f>
        <v/>
      </c>
      <c r="O214" s="23" t="str">
        <f aca="false">IF($B214="","",$N214-($G214*$E214+$H214))</f>
        <v/>
      </c>
      <c r="P214" s="24" t="str">
        <f aca="true">IF($B214="","",IF(AND($I214=설정!$A$11,$A214&lt;&gt;"",TODAY()-$A214&gt;=설정!$B$8),"지연!",""))</f>
        <v/>
      </c>
    </row>
    <row r="215" customFormat="false" ht="15" hidden="false" customHeight="false" outlineLevel="0" collapsed="false">
      <c r="A215" s="19"/>
      <c r="B215" s="20"/>
      <c r="C215" s="5"/>
      <c r="D215" s="5"/>
      <c r="E215" s="21"/>
      <c r="F215" s="22"/>
      <c r="G215" s="22"/>
      <c r="H215" s="22"/>
      <c r="I215" s="15"/>
      <c r="J215" s="19"/>
      <c r="K215" s="20"/>
      <c r="L215" s="20"/>
      <c r="M215" s="23" t="str">
        <f aca="false">IF($B215="","",$F215*$E215)</f>
        <v/>
      </c>
      <c r="N215" s="23" t="str">
        <f aca="false">IF($B215="","",$M215*(1-설정!$B$7))</f>
        <v/>
      </c>
      <c r="O215" s="23" t="str">
        <f aca="false">IF($B215="","",$N215-($G215*$E215+$H215))</f>
        <v/>
      </c>
      <c r="P215" s="24" t="str">
        <f aca="true">IF($B215="","",IF(AND($I215=설정!$A$11,$A215&lt;&gt;"",TODAY()-$A215&gt;=설정!$B$8),"지연!",""))</f>
        <v/>
      </c>
    </row>
    <row r="216" customFormat="false" ht="15" hidden="false" customHeight="false" outlineLevel="0" collapsed="false">
      <c r="A216" s="19"/>
      <c r="B216" s="20"/>
      <c r="C216" s="5"/>
      <c r="D216" s="5"/>
      <c r="E216" s="21"/>
      <c r="F216" s="22"/>
      <c r="G216" s="22"/>
      <c r="H216" s="22"/>
      <c r="I216" s="15"/>
      <c r="J216" s="19"/>
      <c r="K216" s="20"/>
      <c r="L216" s="20"/>
      <c r="M216" s="23" t="str">
        <f aca="false">IF($B216="","",$F216*$E216)</f>
        <v/>
      </c>
      <c r="N216" s="23" t="str">
        <f aca="false">IF($B216="","",$M216*(1-설정!$B$7))</f>
        <v/>
      </c>
      <c r="O216" s="23" t="str">
        <f aca="false">IF($B216="","",$N216-($G216*$E216+$H216))</f>
        <v/>
      </c>
      <c r="P216" s="24" t="str">
        <f aca="true">IF($B216="","",IF(AND($I216=설정!$A$11,$A216&lt;&gt;"",TODAY()-$A216&gt;=설정!$B$8),"지연!",""))</f>
        <v/>
      </c>
    </row>
    <row r="217" customFormat="false" ht="15" hidden="false" customHeight="false" outlineLevel="0" collapsed="false">
      <c r="A217" s="19"/>
      <c r="B217" s="20"/>
      <c r="C217" s="5"/>
      <c r="D217" s="5"/>
      <c r="E217" s="21"/>
      <c r="F217" s="22"/>
      <c r="G217" s="22"/>
      <c r="H217" s="22"/>
      <c r="I217" s="15"/>
      <c r="J217" s="19"/>
      <c r="K217" s="20"/>
      <c r="L217" s="20"/>
      <c r="M217" s="23" t="str">
        <f aca="false">IF($B217="","",$F217*$E217)</f>
        <v/>
      </c>
      <c r="N217" s="23" t="str">
        <f aca="false">IF($B217="","",$M217*(1-설정!$B$7))</f>
        <v/>
      </c>
      <c r="O217" s="23" t="str">
        <f aca="false">IF($B217="","",$N217-($G217*$E217+$H217))</f>
        <v/>
      </c>
      <c r="P217" s="24" t="str">
        <f aca="true">IF($B217="","",IF(AND($I217=설정!$A$11,$A217&lt;&gt;"",TODAY()-$A217&gt;=설정!$B$8),"지연!",""))</f>
        <v/>
      </c>
    </row>
    <row r="218" customFormat="false" ht="15" hidden="false" customHeight="false" outlineLevel="0" collapsed="false">
      <c r="A218" s="19"/>
      <c r="B218" s="20"/>
      <c r="C218" s="5"/>
      <c r="D218" s="5"/>
      <c r="E218" s="21"/>
      <c r="F218" s="22"/>
      <c r="G218" s="22"/>
      <c r="H218" s="22"/>
      <c r="I218" s="15"/>
      <c r="J218" s="19"/>
      <c r="K218" s="20"/>
      <c r="L218" s="20"/>
      <c r="M218" s="23" t="str">
        <f aca="false">IF($B218="","",$F218*$E218)</f>
        <v/>
      </c>
      <c r="N218" s="23" t="str">
        <f aca="false">IF($B218="","",$M218*(1-설정!$B$7))</f>
        <v/>
      </c>
      <c r="O218" s="23" t="str">
        <f aca="false">IF($B218="","",$N218-($G218*$E218+$H218))</f>
        <v/>
      </c>
      <c r="P218" s="24" t="str">
        <f aca="true">IF($B218="","",IF(AND($I218=설정!$A$11,$A218&lt;&gt;"",TODAY()-$A218&gt;=설정!$B$8),"지연!",""))</f>
        <v/>
      </c>
    </row>
    <row r="219" customFormat="false" ht="15" hidden="false" customHeight="false" outlineLevel="0" collapsed="false">
      <c r="A219" s="19"/>
      <c r="B219" s="20"/>
      <c r="C219" s="5"/>
      <c r="D219" s="5"/>
      <c r="E219" s="21"/>
      <c r="F219" s="22"/>
      <c r="G219" s="22"/>
      <c r="H219" s="22"/>
      <c r="I219" s="15"/>
      <c r="J219" s="19"/>
      <c r="K219" s="20"/>
      <c r="L219" s="20"/>
      <c r="M219" s="23" t="str">
        <f aca="false">IF($B219="","",$F219*$E219)</f>
        <v/>
      </c>
      <c r="N219" s="23" t="str">
        <f aca="false">IF($B219="","",$M219*(1-설정!$B$7))</f>
        <v/>
      </c>
      <c r="O219" s="23" t="str">
        <f aca="false">IF($B219="","",$N219-($G219*$E219+$H219))</f>
        <v/>
      </c>
      <c r="P219" s="24" t="str">
        <f aca="true">IF($B219="","",IF(AND($I219=설정!$A$11,$A219&lt;&gt;"",TODAY()-$A219&gt;=설정!$B$8),"지연!",""))</f>
        <v/>
      </c>
    </row>
    <row r="220" customFormat="false" ht="15" hidden="false" customHeight="false" outlineLevel="0" collapsed="false">
      <c r="A220" s="19"/>
      <c r="B220" s="20"/>
      <c r="C220" s="5"/>
      <c r="D220" s="5"/>
      <c r="E220" s="21"/>
      <c r="F220" s="22"/>
      <c r="G220" s="22"/>
      <c r="H220" s="22"/>
      <c r="I220" s="15"/>
      <c r="J220" s="19"/>
      <c r="K220" s="20"/>
      <c r="L220" s="20"/>
      <c r="M220" s="23" t="str">
        <f aca="false">IF($B220="","",$F220*$E220)</f>
        <v/>
      </c>
      <c r="N220" s="23" t="str">
        <f aca="false">IF($B220="","",$M220*(1-설정!$B$7))</f>
        <v/>
      </c>
      <c r="O220" s="23" t="str">
        <f aca="false">IF($B220="","",$N220-($G220*$E220+$H220))</f>
        <v/>
      </c>
      <c r="P220" s="24" t="str">
        <f aca="true">IF($B220="","",IF(AND($I220=설정!$A$11,$A220&lt;&gt;"",TODAY()-$A220&gt;=설정!$B$8),"지연!",""))</f>
        <v/>
      </c>
    </row>
    <row r="221" customFormat="false" ht="15" hidden="false" customHeight="false" outlineLevel="0" collapsed="false">
      <c r="A221" s="19"/>
      <c r="B221" s="20"/>
      <c r="C221" s="5"/>
      <c r="D221" s="5"/>
      <c r="E221" s="21"/>
      <c r="F221" s="22"/>
      <c r="G221" s="22"/>
      <c r="H221" s="22"/>
      <c r="I221" s="15"/>
      <c r="J221" s="19"/>
      <c r="K221" s="20"/>
      <c r="L221" s="20"/>
      <c r="M221" s="23" t="str">
        <f aca="false">IF($B221="","",$F221*$E221)</f>
        <v/>
      </c>
      <c r="N221" s="23" t="str">
        <f aca="false">IF($B221="","",$M221*(1-설정!$B$7))</f>
        <v/>
      </c>
      <c r="O221" s="23" t="str">
        <f aca="false">IF($B221="","",$N221-($G221*$E221+$H221))</f>
        <v/>
      </c>
      <c r="P221" s="24" t="str">
        <f aca="true">IF($B221="","",IF(AND($I221=설정!$A$11,$A221&lt;&gt;"",TODAY()-$A221&gt;=설정!$B$8),"지연!",""))</f>
        <v/>
      </c>
    </row>
    <row r="222" customFormat="false" ht="15" hidden="false" customHeight="false" outlineLevel="0" collapsed="false">
      <c r="A222" s="19"/>
      <c r="B222" s="20"/>
      <c r="C222" s="5"/>
      <c r="D222" s="5"/>
      <c r="E222" s="21"/>
      <c r="F222" s="22"/>
      <c r="G222" s="22"/>
      <c r="H222" s="22"/>
      <c r="I222" s="15"/>
      <c r="J222" s="19"/>
      <c r="K222" s="20"/>
      <c r="L222" s="20"/>
      <c r="M222" s="23" t="str">
        <f aca="false">IF($B222="","",$F222*$E222)</f>
        <v/>
      </c>
      <c r="N222" s="23" t="str">
        <f aca="false">IF($B222="","",$M222*(1-설정!$B$7))</f>
        <v/>
      </c>
      <c r="O222" s="23" t="str">
        <f aca="false">IF($B222="","",$N222-($G222*$E222+$H222))</f>
        <v/>
      </c>
      <c r="P222" s="24" t="str">
        <f aca="true">IF($B222="","",IF(AND($I222=설정!$A$11,$A222&lt;&gt;"",TODAY()-$A222&gt;=설정!$B$8),"지연!",""))</f>
        <v/>
      </c>
    </row>
    <row r="223" customFormat="false" ht="15" hidden="false" customHeight="false" outlineLevel="0" collapsed="false">
      <c r="A223" s="19"/>
      <c r="B223" s="20"/>
      <c r="C223" s="5"/>
      <c r="D223" s="5"/>
      <c r="E223" s="21"/>
      <c r="F223" s="22"/>
      <c r="G223" s="22"/>
      <c r="H223" s="22"/>
      <c r="I223" s="15"/>
      <c r="J223" s="19"/>
      <c r="K223" s="20"/>
      <c r="L223" s="20"/>
      <c r="M223" s="23" t="str">
        <f aca="false">IF($B223="","",$F223*$E223)</f>
        <v/>
      </c>
      <c r="N223" s="23" t="str">
        <f aca="false">IF($B223="","",$M223*(1-설정!$B$7))</f>
        <v/>
      </c>
      <c r="O223" s="23" t="str">
        <f aca="false">IF($B223="","",$N223-($G223*$E223+$H223))</f>
        <v/>
      </c>
      <c r="P223" s="24" t="str">
        <f aca="true">IF($B223="","",IF(AND($I223=설정!$A$11,$A223&lt;&gt;"",TODAY()-$A223&gt;=설정!$B$8),"지연!",""))</f>
        <v/>
      </c>
    </row>
    <row r="224" customFormat="false" ht="15" hidden="false" customHeight="false" outlineLevel="0" collapsed="false">
      <c r="A224" s="19"/>
      <c r="B224" s="20"/>
      <c r="C224" s="5"/>
      <c r="D224" s="5"/>
      <c r="E224" s="21"/>
      <c r="F224" s="22"/>
      <c r="G224" s="22"/>
      <c r="H224" s="22"/>
      <c r="I224" s="15"/>
      <c r="J224" s="19"/>
      <c r="K224" s="20"/>
      <c r="L224" s="20"/>
      <c r="M224" s="23" t="str">
        <f aca="false">IF($B224="","",$F224*$E224)</f>
        <v/>
      </c>
      <c r="N224" s="23" t="str">
        <f aca="false">IF($B224="","",$M224*(1-설정!$B$7))</f>
        <v/>
      </c>
      <c r="O224" s="23" t="str">
        <f aca="false">IF($B224="","",$N224-($G224*$E224+$H224))</f>
        <v/>
      </c>
      <c r="P224" s="24" t="str">
        <f aca="true">IF($B224="","",IF(AND($I224=설정!$A$11,$A224&lt;&gt;"",TODAY()-$A224&gt;=설정!$B$8),"지연!",""))</f>
        <v/>
      </c>
    </row>
    <row r="225" customFormat="false" ht="15" hidden="false" customHeight="false" outlineLevel="0" collapsed="false">
      <c r="A225" s="19"/>
      <c r="B225" s="20"/>
      <c r="C225" s="5"/>
      <c r="D225" s="5"/>
      <c r="E225" s="21"/>
      <c r="F225" s="22"/>
      <c r="G225" s="22"/>
      <c r="H225" s="22"/>
      <c r="I225" s="15"/>
      <c r="J225" s="19"/>
      <c r="K225" s="20"/>
      <c r="L225" s="20"/>
      <c r="M225" s="23" t="str">
        <f aca="false">IF($B225="","",$F225*$E225)</f>
        <v/>
      </c>
      <c r="N225" s="23" t="str">
        <f aca="false">IF($B225="","",$M225*(1-설정!$B$7))</f>
        <v/>
      </c>
      <c r="O225" s="23" t="str">
        <f aca="false">IF($B225="","",$N225-($G225*$E225+$H225))</f>
        <v/>
      </c>
      <c r="P225" s="24" t="str">
        <f aca="true">IF($B225="","",IF(AND($I225=설정!$A$11,$A225&lt;&gt;"",TODAY()-$A225&gt;=설정!$B$8),"지연!",""))</f>
        <v/>
      </c>
    </row>
    <row r="226" customFormat="false" ht="15" hidden="false" customHeight="false" outlineLevel="0" collapsed="false">
      <c r="A226" s="19"/>
      <c r="B226" s="20"/>
      <c r="C226" s="5"/>
      <c r="D226" s="5"/>
      <c r="E226" s="21"/>
      <c r="F226" s="22"/>
      <c r="G226" s="22"/>
      <c r="H226" s="22"/>
      <c r="I226" s="15"/>
      <c r="J226" s="19"/>
      <c r="K226" s="20"/>
      <c r="L226" s="20"/>
      <c r="M226" s="23" t="str">
        <f aca="false">IF($B226="","",$F226*$E226)</f>
        <v/>
      </c>
      <c r="N226" s="23" t="str">
        <f aca="false">IF($B226="","",$M226*(1-설정!$B$7))</f>
        <v/>
      </c>
      <c r="O226" s="23" t="str">
        <f aca="false">IF($B226="","",$N226-($G226*$E226+$H226))</f>
        <v/>
      </c>
      <c r="P226" s="24" t="str">
        <f aca="true">IF($B226="","",IF(AND($I226=설정!$A$11,$A226&lt;&gt;"",TODAY()-$A226&gt;=설정!$B$8),"지연!",""))</f>
        <v/>
      </c>
    </row>
    <row r="227" customFormat="false" ht="15" hidden="false" customHeight="false" outlineLevel="0" collapsed="false">
      <c r="A227" s="19"/>
      <c r="B227" s="20"/>
      <c r="C227" s="5"/>
      <c r="D227" s="5"/>
      <c r="E227" s="21"/>
      <c r="F227" s="22"/>
      <c r="G227" s="22"/>
      <c r="H227" s="22"/>
      <c r="I227" s="15"/>
      <c r="J227" s="19"/>
      <c r="K227" s="20"/>
      <c r="L227" s="20"/>
      <c r="M227" s="23" t="str">
        <f aca="false">IF($B227="","",$F227*$E227)</f>
        <v/>
      </c>
      <c r="N227" s="23" t="str">
        <f aca="false">IF($B227="","",$M227*(1-설정!$B$7))</f>
        <v/>
      </c>
      <c r="O227" s="23" t="str">
        <f aca="false">IF($B227="","",$N227-($G227*$E227+$H227))</f>
        <v/>
      </c>
      <c r="P227" s="24" t="str">
        <f aca="true">IF($B227="","",IF(AND($I227=설정!$A$11,$A227&lt;&gt;"",TODAY()-$A227&gt;=설정!$B$8),"지연!",""))</f>
        <v/>
      </c>
    </row>
    <row r="228" customFormat="false" ht="15" hidden="false" customHeight="false" outlineLevel="0" collapsed="false">
      <c r="A228" s="19"/>
      <c r="B228" s="20"/>
      <c r="C228" s="5"/>
      <c r="D228" s="5"/>
      <c r="E228" s="21"/>
      <c r="F228" s="22"/>
      <c r="G228" s="22"/>
      <c r="H228" s="22"/>
      <c r="I228" s="15"/>
      <c r="J228" s="19"/>
      <c r="K228" s="20"/>
      <c r="L228" s="20"/>
      <c r="M228" s="23" t="str">
        <f aca="false">IF($B228="","",$F228*$E228)</f>
        <v/>
      </c>
      <c r="N228" s="23" t="str">
        <f aca="false">IF($B228="","",$M228*(1-설정!$B$7))</f>
        <v/>
      </c>
      <c r="O228" s="23" t="str">
        <f aca="false">IF($B228="","",$N228-($G228*$E228+$H228))</f>
        <v/>
      </c>
      <c r="P228" s="24" t="str">
        <f aca="true">IF($B228="","",IF(AND($I228=설정!$A$11,$A228&lt;&gt;"",TODAY()-$A228&gt;=설정!$B$8),"지연!",""))</f>
        <v/>
      </c>
    </row>
    <row r="229" customFormat="false" ht="15" hidden="false" customHeight="false" outlineLevel="0" collapsed="false">
      <c r="A229" s="19"/>
      <c r="B229" s="20"/>
      <c r="C229" s="5"/>
      <c r="D229" s="5"/>
      <c r="E229" s="21"/>
      <c r="F229" s="22"/>
      <c r="G229" s="22"/>
      <c r="H229" s="22"/>
      <c r="I229" s="15"/>
      <c r="J229" s="19"/>
      <c r="K229" s="20"/>
      <c r="L229" s="20"/>
      <c r="M229" s="23" t="str">
        <f aca="false">IF($B229="","",$F229*$E229)</f>
        <v/>
      </c>
      <c r="N229" s="23" t="str">
        <f aca="false">IF($B229="","",$M229*(1-설정!$B$7))</f>
        <v/>
      </c>
      <c r="O229" s="23" t="str">
        <f aca="false">IF($B229="","",$N229-($G229*$E229+$H229))</f>
        <v/>
      </c>
      <c r="P229" s="24" t="str">
        <f aca="true">IF($B229="","",IF(AND($I229=설정!$A$11,$A229&lt;&gt;"",TODAY()-$A229&gt;=설정!$B$8),"지연!",""))</f>
        <v/>
      </c>
    </row>
    <row r="230" customFormat="false" ht="15" hidden="false" customHeight="false" outlineLevel="0" collapsed="false">
      <c r="A230" s="19"/>
      <c r="B230" s="20"/>
      <c r="C230" s="5"/>
      <c r="D230" s="5"/>
      <c r="E230" s="21"/>
      <c r="F230" s="22"/>
      <c r="G230" s="22"/>
      <c r="H230" s="22"/>
      <c r="I230" s="15"/>
      <c r="J230" s="19"/>
      <c r="K230" s="20"/>
      <c r="L230" s="20"/>
      <c r="M230" s="23" t="str">
        <f aca="false">IF($B230="","",$F230*$E230)</f>
        <v/>
      </c>
      <c r="N230" s="23" t="str">
        <f aca="false">IF($B230="","",$M230*(1-설정!$B$7))</f>
        <v/>
      </c>
      <c r="O230" s="23" t="str">
        <f aca="false">IF($B230="","",$N230-($G230*$E230+$H230))</f>
        <v/>
      </c>
      <c r="P230" s="24" t="str">
        <f aca="true">IF($B230="","",IF(AND($I230=설정!$A$11,$A230&lt;&gt;"",TODAY()-$A230&gt;=설정!$B$8),"지연!",""))</f>
        <v/>
      </c>
    </row>
    <row r="231" customFormat="false" ht="15" hidden="false" customHeight="false" outlineLevel="0" collapsed="false">
      <c r="A231" s="19"/>
      <c r="B231" s="20"/>
      <c r="C231" s="5"/>
      <c r="D231" s="5"/>
      <c r="E231" s="21"/>
      <c r="F231" s="22"/>
      <c r="G231" s="22"/>
      <c r="H231" s="22"/>
      <c r="I231" s="15"/>
      <c r="J231" s="19"/>
      <c r="K231" s="20"/>
      <c r="L231" s="20"/>
      <c r="M231" s="23" t="str">
        <f aca="false">IF($B231="","",$F231*$E231)</f>
        <v/>
      </c>
      <c r="N231" s="23" t="str">
        <f aca="false">IF($B231="","",$M231*(1-설정!$B$7))</f>
        <v/>
      </c>
      <c r="O231" s="23" t="str">
        <f aca="false">IF($B231="","",$N231-($G231*$E231+$H231))</f>
        <v/>
      </c>
      <c r="P231" s="24" t="str">
        <f aca="true">IF($B231="","",IF(AND($I231=설정!$A$11,$A231&lt;&gt;"",TODAY()-$A231&gt;=설정!$B$8),"지연!",""))</f>
        <v/>
      </c>
    </row>
    <row r="232" customFormat="false" ht="15" hidden="false" customHeight="false" outlineLevel="0" collapsed="false">
      <c r="A232" s="19"/>
      <c r="B232" s="20"/>
      <c r="C232" s="5"/>
      <c r="D232" s="5"/>
      <c r="E232" s="21"/>
      <c r="F232" s="22"/>
      <c r="G232" s="22"/>
      <c r="H232" s="22"/>
      <c r="I232" s="15"/>
      <c r="J232" s="19"/>
      <c r="K232" s="20"/>
      <c r="L232" s="20"/>
      <c r="M232" s="23" t="str">
        <f aca="false">IF($B232="","",$F232*$E232)</f>
        <v/>
      </c>
      <c r="N232" s="23" t="str">
        <f aca="false">IF($B232="","",$M232*(1-설정!$B$7))</f>
        <v/>
      </c>
      <c r="O232" s="23" t="str">
        <f aca="false">IF($B232="","",$N232-($G232*$E232+$H232))</f>
        <v/>
      </c>
      <c r="P232" s="24" t="str">
        <f aca="true">IF($B232="","",IF(AND($I232=설정!$A$11,$A232&lt;&gt;"",TODAY()-$A232&gt;=설정!$B$8),"지연!",""))</f>
        <v/>
      </c>
    </row>
    <row r="233" customFormat="false" ht="15" hidden="false" customHeight="false" outlineLevel="0" collapsed="false">
      <c r="A233" s="19"/>
      <c r="B233" s="20"/>
      <c r="C233" s="5"/>
      <c r="D233" s="5"/>
      <c r="E233" s="21"/>
      <c r="F233" s="22"/>
      <c r="G233" s="22"/>
      <c r="H233" s="22"/>
      <c r="I233" s="15"/>
      <c r="J233" s="19"/>
      <c r="K233" s="20"/>
      <c r="L233" s="20"/>
      <c r="M233" s="23" t="str">
        <f aca="false">IF($B233="","",$F233*$E233)</f>
        <v/>
      </c>
      <c r="N233" s="23" t="str">
        <f aca="false">IF($B233="","",$M233*(1-설정!$B$7))</f>
        <v/>
      </c>
      <c r="O233" s="23" t="str">
        <f aca="false">IF($B233="","",$N233-($G233*$E233+$H233))</f>
        <v/>
      </c>
      <c r="P233" s="24" t="str">
        <f aca="true">IF($B233="","",IF(AND($I233=설정!$A$11,$A233&lt;&gt;"",TODAY()-$A233&gt;=설정!$B$8),"지연!",""))</f>
        <v/>
      </c>
    </row>
    <row r="234" customFormat="false" ht="15" hidden="false" customHeight="false" outlineLevel="0" collapsed="false">
      <c r="A234" s="19"/>
      <c r="B234" s="20"/>
      <c r="C234" s="5"/>
      <c r="D234" s="5"/>
      <c r="E234" s="21"/>
      <c r="F234" s="22"/>
      <c r="G234" s="22"/>
      <c r="H234" s="22"/>
      <c r="I234" s="15"/>
      <c r="J234" s="19"/>
      <c r="K234" s="20"/>
      <c r="L234" s="20"/>
      <c r="M234" s="23" t="str">
        <f aca="false">IF($B234="","",$F234*$E234)</f>
        <v/>
      </c>
      <c r="N234" s="23" t="str">
        <f aca="false">IF($B234="","",$M234*(1-설정!$B$7))</f>
        <v/>
      </c>
      <c r="O234" s="23" t="str">
        <f aca="false">IF($B234="","",$N234-($G234*$E234+$H234))</f>
        <v/>
      </c>
      <c r="P234" s="24" t="str">
        <f aca="true">IF($B234="","",IF(AND($I234=설정!$A$11,$A234&lt;&gt;"",TODAY()-$A234&gt;=설정!$B$8),"지연!",""))</f>
        <v/>
      </c>
    </row>
    <row r="235" customFormat="false" ht="15" hidden="false" customHeight="false" outlineLevel="0" collapsed="false">
      <c r="A235" s="19"/>
      <c r="B235" s="20"/>
      <c r="C235" s="5"/>
      <c r="D235" s="5"/>
      <c r="E235" s="21"/>
      <c r="F235" s="22"/>
      <c r="G235" s="22"/>
      <c r="H235" s="22"/>
      <c r="I235" s="15"/>
      <c r="J235" s="19"/>
      <c r="K235" s="20"/>
      <c r="L235" s="20"/>
      <c r="M235" s="23" t="str">
        <f aca="false">IF($B235="","",$F235*$E235)</f>
        <v/>
      </c>
      <c r="N235" s="23" t="str">
        <f aca="false">IF($B235="","",$M235*(1-설정!$B$7))</f>
        <v/>
      </c>
      <c r="O235" s="23" t="str">
        <f aca="false">IF($B235="","",$N235-($G235*$E235+$H235))</f>
        <v/>
      </c>
      <c r="P235" s="24" t="str">
        <f aca="true">IF($B235="","",IF(AND($I235=설정!$A$11,$A235&lt;&gt;"",TODAY()-$A235&gt;=설정!$B$8),"지연!",""))</f>
        <v/>
      </c>
    </row>
    <row r="236" customFormat="false" ht="15" hidden="false" customHeight="false" outlineLevel="0" collapsed="false">
      <c r="A236" s="19"/>
      <c r="B236" s="20"/>
      <c r="C236" s="5"/>
      <c r="D236" s="5"/>
      <c r="E236" s="21"/>
      <c r="F236" s="22"/>
      <c r="G236" s="22"/>
      <c r="H236" s="22"/>
      <c r="I236" s="15"/>
      <c r="J236" s="19"/>
      <c r="K236" s="20"/>
      <c r="L236" s="20"/>
      <c r="M236" s="23" t="str">
        <f aca="false">IF($B236="","",$F236*$E236)</f>
        <v/>
      </c>
      <c r="N236" s="23" t="str">
        <f aca="false">IF($B236="","",$M236*(1-설정!$B$7))</f>
        <v/>
      </c>
      <c r="O236" s="23" t="str">
        <f aca="false">IF($B236="","",$N236-($G236*$E236+$H236))</f>
        <v/>
      </c>
      <c r="P236" s="24" t="str">
        <f aca="true">IF($B236="","",IF(AND($I236=설정!$A$11,$A236&lt;&gt;"",TODAY()-$A236&gt;=설정!$B$8),"지연!",""))</f>
        <v/>
      </c>
    </row>
    <row r="237" customFormat="false" ht="15" hidden="false" customHeight="false" outlineLevel="0" collapsed="false">
      <c r="A237" s="19"/>
      <c r="B237" s="20"/>
      <c r="C237" s="5"/>
      <c r="D237" s="5"/>
      <c r="E237" s="21"/>
      <c r="F237" s="22"/>
      <c r="G237" s="22"/>
      <c r="H237" s="22"/>
      <c r="I237" s="15"/>
      <c r="J237" s="19"/>
      <c r="K237" s="20"/>
      <c r="L237" s="20"/>
      <c r="M237" s="23" t="str">
        <f aca="false">IF($B237="","",$F237*$E237)</f>
        <v/>
      </c>
      <c r="N237" s="23" t="str">
        <f aca="false">IF($B237="","",$M237*(1-설정!$B$7))</f>
        <v/>
      </c>
      <c r="O237" s="23" t="str">
        <f aca="false">IF($B237="","",$N237-($G237*$E237+$H237))</f>
        <v/>
      </c>
      <c r="P237" s="24" t="str">
        <f aca="true">IF($B237="","",IF(AND($I237=설정!$A$11,$A237&lt;&gt;"",TODAY()-$A237&gt;=설정!$B$8),"지연!",""))</f>
        <v/>
      </c>
    </row>
    <row r="238" customFormat="false" ht="15" hidden="false" customHeight="false" outlineLevel="0" collapsed="false">
      <c r="A238" s="19"/>
      <c r="B238" s="20"/>
      <c r="C238" s="5"/>
      <c r="D238" s="5"/>
      <c r="E238" s="21"/>
      <c r="F238" s="22"/>
      <c r="G238" s="22"/>
      <c r="H238" s="22"/>
      <c r="I238" s="15"/>
      <c r="J238" s="19"/>
      <c r="K238" s="20"/>
      <c r="L238" s="20"/>
      <c r="M238" s="23" t="str">
        <f aca="false">IF($B238="","",$F238*$E238)</f>
        <v/>
      </c>
      <c r="N238" s="23" t="str">
        <f aca="false">IF($B238="","",$M238*(1-설정!$B$7))</f>
        <v/>
      </c>
      <c r="O238" s="23" t="str">
        <f aca="false">IF($B238="","",$N238-($G238*$E238+$H238))</f>
        <v/>
      </c>
      <c r="P238" s="24" t="str">
        <f aca="true">IF($B238="","",IF(AND($I238=설정!$A$11,$A238&lt;&gt;"",TODAY()-$A238&gt;=설정!$B$8),"지연!",""))</f>
        <v/>
      </c>
    </row>
    <row r="239" customFormat="false" ht="15" hidden="false" customHeight="false" outlineLevel="0" collapsed="false">
      <c r="A239" s="19"/>
      <c r="B239" s="20"/>
      <c r="C239" s="5"/>
      <c r="D239" s="5"/>
      <c r="E239" s="21"/>
      <c r="F239" s="22"/>
      <c r="G239" s="22"/>
      <c r="H239" s="22"/>
      <c r="I239" s="15"/>
      <c r="J239" s="19"/>
      <c r="K239" s="20"/>
      <c r="L239" s="20"/>
      <c r="M239" s="23" t="str">
        <f aca="false">IF($B239="","",$F239*$E239)</f>
        <v/>
      </c>
      <c r="N239" s="23" t="str">
        <f aca="false">IF($B239="","",$M239*(1-설정!$B$7))</f>
        <v/>
      </c>
      <c r="O239" s="23" t="str">
        <f aca="false">IF($B239="","",$N239-($G239*$E239+$H239))</f>
        <v/>
      </c>
      <c r="P239" s="24" t="str">
        <f aca="true">IF($B239="","",IF(AND($I239=설정!$A$11,$A239&lt;&gt;"",TODAY()-$A239&gt;=설정!$B$8),"지연!",""))</f>
        <v/>
      </c>
    </row>
    <row r="240" customFormat="false" ht="15" hidden="false" customHeight="false" outlineLevel="0" collapsed="false">
      <c r="A240" s="19"/>
      <c r="B240" s="20"/>
      <c r="C240" s="5"/>
      <c r="D240" s="5"/>
      <c r="E240" s="21"/>
      <c r="F240" s="22"/>
      <c r="G240" s="22"/>
      <c r="H240" s="22"/>
      <c r="I240" s="15"/>
      <c r="J240" s="19"/>
      <c r="K240" s="20"/>
      <c r="L240" s="20"/>
      <c r="M240" s="23" t="str">
        <f aca="false">IF($B240="","",$F240*$E240)</f>
        <v/>
      </c>
      <c r="N240" s="23" t="str">
        <f aca="false">IF($B240="","",$M240*(1-설정!$B$7))</f>
        <v/>
      </c>
      <c r="O240" s="23" t="str">
        <f aca="false">IF($B240="","",$N240-($G240*$E240+$H240))</f>
        <v/>
      </c>
      <c r="P240" s="24" t="str">
        <f aca="true">IF($B240="","",IF(AND($I240=설정!$A$11,$A240&lt;&gt;"",TODAY()-$A240&gt;=설정!$B$8),"지연!",""))</f>
        <v/>
      </c>
    </row>
    <row r="241" customFormat="false" ht="15" hidden="false" customHeight="false" outlineLevel="0" collapsed="false">
      <c r="A241" s="19"/>
      <c r="B241" s="20"/>
      <c r="C241" s="5"/>
      <c r="D241" s="5"/>
      <c r="E241" s="21"/>
      <c r="F241" s="22"/>
      <c r="G241" s="22"/>
      <c r="H241" s="22"/>
      <c r="I241" s="15"/>
      <c r="J241" s="19"/>
      <c r="K241" s="20"/>
      <c r="L241" s="20"/>
      <c r="M241" s="23" t="str">
        <f aca="false">IF($B241="","",$F241*$E241)</f>
        <v/>
      </c>
      <c r="N241" s="23" t="str">
        <f aca="false">IF($B241="","",$M241*(1-설정!$B$7))</f>
        <v/>
      </c>
      <c r="O241" s="23" t="str">
        <f aca="false">IF($B241="","",$N241-($G241*$E241+$H241))</f>
        <v/>
      </c>
      <c r="P241" s="24" t="str">
        <f aca="true">IF($B241="","",IF(AND($I241=설정!$A$11,$A241&lt;&gt;"",TODAY()-$A241&gt;=설정!$B$8),"지연!",""))</f>
        <v/>
      </c>
    </row>
    <row r="242" customFormat="false" ht="15" hidden="false" customHeight="false" outlineLevel="0" collapsed="false">
      <c r="A242" s="19"/>
      <c r="B242" s="20"/>
      <c r="C242" s="5"/>
      <c r="D242" s="5"/>
      <c r="E242" s="21"/>
      <c r="F242" s="22"/>
      <c r="G242" s="22"/>
      <c r="H242" s="22"/>
      <c r="I242" s="15"/>
      <c r="J242" s="19"/>
      <c r="K242" s="20"/>
      <c r="L242" s="20"/>
      <c r="M242" s="23" t="str">
        <f aca="false">IF($B242="","",$F242*$E242)</f>
        <v/>
      </c>
      <c r="N242" s="23" t="str">
        <f aca="false">IF($B242="","",$M242*(1-설정!$B$7))</f>
        <v/>
      </c>
      <c r="O242" s="23" t="str">
        <f aca="false">IF($B242="","",$N242-($G242*$E242+$H242))</f>
        <v/>
      </c>
      <c r="P242" s="24" t="str">
        <f aca="true">IF($B242="","",IF(AND($I242=설정!$A$11,$A242&lt;&gt;"",TODAY()-$A242&gt;=설정!$B$8),"지연!",""))</f>
        <v/>
      </c>
    </row>
    <row r="243" customFormat="false" ht="15" hidden="false" customHeight="false" outlineLevel="0" collapsed="false">
      <c r="A243" s="19"/>
      <c r="B243" s="20"/>
      <c r="C243" s="5"/>
      <c r="D243" s="5"/>
      <c r="E243" s="21"/>
      <c r="F243" s="22"/>
      <c r="G243" s="22"/>
      <c r="H243" s="22"/>
      <c r="I243" s="15"/>
      <c r="J243" s="19"/>
      <c r="K243" s="20"/>
      <c r="L243" s="20"/>
      <c r="M243" s="23" t="str">
        <f aca="false">IF($B243="","",$F243*$E243)</f>
        <v/>
      </c>
      <c r="N243" s="23" t="str">
        <f aca="false">IF($B243="","",$M243*(1-설정!$B$7))</f>
        <v/>
      </c>
      <c r="O243" s="23" t="str">
        <f aca="false">IF($B243="","",$N243-($G243*$E243+$H243))</f>
        <v/>
      </c>
      <c r="P243" s="24" t="str">
        <f aca="true">IF($B243="","",IF(AND($I243=설정!$A$11,$A243&lt;&gt;"",TODAY()-$A243&gt;=설정!$B$8),"지연!",""))</f>
        <v/>
      </c>
    </row>
    <row r="244" customFormat="false" ht="15" hidden="false" customHeight="false" outlineLevel="0" collapsed="false">
      <c r="A244" s="19"/>
      <c r="B244" s="20"/>
      <c r="C244" s="5"/>
      <c r="D244" s="5"/>
      <c r="E244" s="21"/>
      <c r="F244" s="22"/>
      <c r="G244" s="22"/>
      <c r="H244" s="22"/>
      <c r="I244" s="15"/>
      <c r="J244" s="19"/>
      <c r="K244" s="20"/>
      <c r="L244" s="20"/>
      <c r="M244" s="23" t="str">
        <f aca="false">IF($B244="","",$F244*$E244)</f>
        <v/>
      </c>
      <c r="N244" s="23" t="str">
        <f aca="false">IF($B244="","",$M244*(1-설정!$B$7))</f>
        <v/>
      </c>
      <c r="O244" s="23" t="str">
        <f aca="false">IF($B244="","",$N244-($G244*$E244+$H244))</f>
        <v/>
      </c>
      <c r="P244" s="24" t="str">
        <f aca="true">IF($B244="","",IF(AND($I244=설정!$A$11,$A244&lt;&gt;"",TODAY()-$A244&gt;=설정!$B$8),"지연!",""))</f>
        <v/>
      </c>
    </row>
    <row r="245" customFormat="false" ht="15" hidden="false" customHeight="false" outlineLevel="0" collapsed="false">
      <c r="A245" s="19"/>
      <c r="B245" s="20"/>
      <c r="C245" s="5"/>
      <c r="D245" s="5"/>
      <c r="E245" s="21"/>
      <c r="F245" s="22"/>
      <c r="G245" s="22"/>
      <c r="H245" s="22"/>
      <c r="I245" s="15"/>
      <c r="J245" s="19"/>
      <c r="K245" s="20"/>
      <c r="L245" s="20"/>
      <c r="M245" s="23" t="str">
        <f aca="false">IF($B245="","",$F245*$E245)</f>
        <v/>
      </c>
      <c r="N245" s="23" t="str">
        <f aca="false">IF($B245="","",$M245*(1-설정!$B$7))</f>
        <v/>
      </c>
      <c r="O245" s="23" t="str">
        <f aca="false">IF($B245="","",$N245-($G245*$E245+$H245))</f>
        <v/>
      </c>
      <c r="P245" s="24" t="str">
        <f aca="true">IF($B245="","",IF(AND($I245=설정!$A$11,$A245&lt;&gt;"",TODAY()-$A245&gt;=설정!$B$8),"지연!",""))</f>
        <v/>
      </c>
    </row>
    <row r="246" customFormat="false" ht="15" hidden="false" customHeight="false" outlineLevel="0" collapsed="false">
      <c r="A246" s="19"/>
      <c r="B246" s="20"/>
      <c r="C246" s="5"/>
      <c r="D246" s="5"/>
      <c r="E246" s="21"/>
      <c r="F246" s="22"/>
      <c r="G246" s="22"/>
      <c r="H246" s="22"/>
      <c r="I246" s="15"/>
      <c r="J246" s="19"/>
      <c r="K246" s="20"/>
      <c r="L246" s="20"/>
      <c r="M246" s="23" t="str">
        <f aca="false">IF($B246="","",$F246*$E246)</f>
        <v/>
      </c>
      <c r="N246" s="23" t="str">
        <f aca="false">IF($B246="","",$M246*(1-설정!$B$7))</f>
        <v/>
      </c>
      <c r="O246" s="23" t="str">
        <f aca="false">IF($B246="","",$N246-($G246*$E246+$H246))</f>
        <v/>
      </c>
      <c r="P246" s="24" t="str">
        <f aca="true">IF($B246="","",IF(AND($I246=설정!$A$11,$A246&lt;&gt;"",TODAY()-$A246&gt;=설정!$B$8),"지연!",""))</f>
        <v/>
      </c>
    </row>
    <row r="247" customFormat="false" ht="15" hidden="false" customHeight="false" outlineLevel="0" collapsed="false">
      <c r="A247" s="19"/>
      <c r="B247" s="20"/>
      <c r="C247" s="5"/>
      <c r="D247" s="5"/>
      <c r="E247" s="21"/>
      <c r="F247" s="22"/>
      <c r="G247" s="22"/>
      <c r="H247" s="22"/>
      <c r="I247" s="15"/>
      <c r="J247" s="19"/>
      <c r="K247" s="20"/>
      <c r="L247" s="20"/>
      <c r="M247" s="23" t="str">
        <f aca="false">IF($B247="","",$F247*$E247)</f>
        <v/>
      </c>
      <c r="N247" s="23" t="str">
        <f aca="false">IF($B247="","",$M247*(1-설정!$B$7))</f>
        <v/>
      </c>
      <c r="O247" s="23" t="str">
        <f aca="false">IF($B247="","",$N247-($G247*$E247+$H247))</f>
        <v/>
      </c>
      <c r="P247" s="24" t="str">
        <f aca="true">IF($B247="","",IF(AND($I247=설정!$A$11,$A247&lt;&gt;"",TODAY()-$A247&gt;=설정!$B$8),"지연!",""))</f>
        <v/>
      </c>
    </row>
    <row r="248" customFormat="false" ht="15" hidden="false" customHeight="false" outlineLevel="0" collapsed="false">
      <c r="A248" s="19"/>
      <c r="B248" s="20"/>
      <c r="C248" s="5"/>
      <c r="D248" s="5"/>
      <c r="E248" s="21"/>
      <c r="F248" s="22"/>
      <c r="G248" s="22"/>
      <c r="H248" s="22"/>
      <c r="I248" s="15"/>
      <c r="J248" s="19"/>
      <c r="K248" s="20"/>
      <c r="L248" s="20"/>
      <c r="M248" s="23" t="str">
        <f aca="false">IF($B248="","",$F248*$E248)</f>
        <v/>
      </c>
      <c r="N248" s="23" t="str">
        <f aca="false">IF($B248="","",$M248*(1-설정!$B$7))</f>
        <v/>
      </c>
      <c r="O248" s="23" t="str">
        <f aca="false">IF($B248="","",$N248-($G248*$E248+$H248))</f>
        <v/>
      </c>
      <c r="P248" s="24" t="str">
        <f aca="true">IF($B248="","",IF(AND($I248=설정!$A$11,$A248&lt;&gt;"",TODAY()-$A248&gt;=설정!$B$8),"지연!",""))</f>
        <v/>
      </c>
    </row>
    <row r="249" customFormat="false" ht="15" hidden="false" customHeight="false" outlineLevel="0" collapsed="false">
      <c r="A249" s="19"/>
      <c r="B249" s="20"/>
      <c r="C249" s="5"/>
      <c r="D249" s="5"/>
      <c r="E249" s="21"/>
      <c r="F249" s="22"/>
      <c r="G249" s="22"/>
      <c r="H249" s="22"/>
      <c r="I249" s="15"/>
      <c r="J249" s="19"/>
      <c r="K249" s="20"/>
      <c r="L249" s="20"/>
      <c r="M249" s="23" t="str">
        <f aca="false">IF($B249="","",$F249*$E249)</f>
        <v/>
      </c>
      <c r="N249" s="23" t="str">
        <f aca="false">IF($B249="","",$M249*(1-설정!$B$7))</f>
        <v/>
      </c>
      <c r="O249" s="23" t="str">
        <f aca="false">IF($B249="","",$N249-($G249*$E249+$H249))</f>
        <v/>
      </c>
      <c r="P249" s="24" t="str">
        <f aca="true">IF($B249="","",IF(AND($I249=설정!$A$11,$A249&lt;&gt;"",TODAY()-$A249&gt;=설정!$B$8),"지연!",""))</f>
        <v/>
      </c>
    </row>
    <row r="250" customFormat="false" ht="15" hidden="false" customHeight="false" outlineLevel="0" collapsed="false">
      <c r="A250" s="19"/>
      <c r="B250" s="20"/>
      <c r="C250" s="5"/>
      <c r="D250" s="5"/>
      <c r="E250" s="21"/>
      <c r="F250" s="22"/>
      <c r="G250" s="22"/>
      <c r="H250" s="22"/>
      <c r="I250" s="15"/>
      <c r="J250" s="19"/>
      <c r="K250" s="20"/>
      <c r="L250" s="20"/>
      <c r="M250" s="23" t="str">
        <f aca="false">IF($B250="","",$F250*$E250)</f>
        <v/>
      </c>
      <c r="N250" s="23" t="str">
        <f aca="false">IF($B250="","",$M250*(1-설정!$B$7))</f>
        <v/>
      </c>
      <c r="O250" s="23" t="str">
        <f aca="false">IF($B250="","",$N250-($G250*$E250+$H250))</f>
        <v/>
      </c>
      <c r="P250" s="24" t="str">
        <f aca="true">IF($B250="","",IF(AND($I250=설정!$A$11,$A250&lt;&gt;"",TODAY()-$A250&gt;=설정!$B$8),"지연!",""))</f>
        <v/>
      </c>
    </row>
    <row r="251" customFormat="false" ht="15" hidden="false" customHeight="false" outlineLevel="0" collapsed="false">
      <c r="A251" s="19"/>
      <c r="B251" s="20"/>
      <c r="C251" s="5"/>
      <c r="D251" s="5"/>
      <c r="E251" s="21"/>
      <c r="F251" s="22"/>
      <c r="G251" s="22"/>
      <c r="H251" s="22"/>
      <c r="I251" s="15"/>
      <c r="J251" s="19"/>
      <c r="K251" s="20"/>
      <c r="L251" s="20"/>
      <c r="M251" s="23" t="str">
        <f aca="false">IF($B251="","",$F251*$E251)</f>
        <v/>
      </c>
      <c r="N251" s="23" t="str">
        <f aca="false">IF($B251="","",$M251*(1-설정!$B$7))</f>
        <v/>
      </c>
      <c r="O251" s="23" t="str">
        <f aca="false">IF($B251="","",$N251-($G251*$E251+$H251))</f>
        <v/>
      </c>
      <c r="P251" s="24" t="str">
        <f aca="true">IF($B251="","",IF(AND($I251=설정!$A$11,$A251&lt;&gt;"",TODAY()-$A251&gt;=설정!$B$8),"지연!",""))</f>
        <v/>
      </c>
    </row>
    <row r="252" customFormat="false" ht="15" hidden="false" customHeight="false" outlineLevel="0" collapsed="false">
      <c r="A252" s="19"/>
      <c r="B252" s="20"/>
      <c r="C252" s="5"/>
      <c r="D252" s="5"/>
      <c r="E252" s="21"/>
      <c r="F252" s="22"/>
      <c r="G252" s="22"/>
      <c r="H252" s="22"/>
      <c r="I252" s="15"/>
      <c r="J252" s="19"/>
      <c r="K252" s="20"/>
      <c r="L252" s="20"/>
      <c r="M252" s="23" t="str">
        <f aca="false">IF($B252="","",$F252*$E252)</f>
        <v/>
      </c>
      <c r="N252" s="23" t="str">
        <f aca="false">IF($B252="","",$M252*(1-설정!$B$7))</f>
        <v/>
      </c>
      <c r="O252" s="23" t="str">
        <f aca="false">IF($B252="","",$N252-($G252*$E252+$H252))</f>
        <v/>
      </c>
      <c r="P252" s="24" t="str">
        <f aca="true">IF($B252="","",IF(AND($I252=설정!$A$11,$A252&lt;&gt;"",TODAY()-$A252&gt;=설정!$B$8),"지연!",""))</f>
        <v/>
      </c>
    </row>
    <row r="253" customFormat="false" ht="15" hidden="false" customHeight="false" outlineLevel="0" collapsed="false">
      <c r="A253" s="19"/>
      <c r="B253" s="20"/>
      <c r="C253" s="5"/>
      <c r="D253" s="5"/>
      <c r="E253" s="21"/>
      <c r="F253" s="22"/>
      <c r="G253" s="22"/>
      <c r="H253" s="22"/>
      <c r="I253" s="15"/>
      <c r="J253" s="19"/>
      <c r="K253" s="20"/>
      <c r="L253" s="20"/>
      <c r="M253" s="23" t="str">
        <f aca="false">IF($B253="","",$F253*$E253)</f>
        <v/>
      </c>
      <c r="N253" s="23" t="str">
        <f aca="false">IF($B253="","",$M253*(1-설정!$B$7))</f>
        <v/>
      </c>
      <c r="O253" s="23" t="str">
        <f aca="false">IF($B253="","",$N253-($G253*$E253+$H253))</f>
        <v/>
      </c>
      <c r="P253" s="24" t="str">
        <f aca="true">IF($B253="","",IF(AND($I253=설정!$A$11,$A253&lt;&gt;"",TODAY()-$A253&gt;=설정!$B$8),"지연!",""))</f>
        <v/>
      </c>
    </row>
    <row r="254" customFormat="false" ht="15" hidden="false" customHeight="false" outlineLevel="0" collapsed="false">
      <c r="A254" s="19"/>
      <c r="B254" s="20"/>
      <c r="C254" s="5"/>
      <c r="D254" s="5"/>
      <c r="E254" s="21"/>
      <c r="F254" s="22"/>
      <c r="G254" s="22"/>
      <c r="H254" s="22"/>
      <c r="I254" s="15"/>
      <c r="J254" s="19"/>
      <c r="K254" s="20"/>
      <c r="L254" s="20"/>
      <c r="M254" s="23" t="str">
        <f aca="false">IF($B254="","",$F254*$E254)</f>
        <v/>
      </c>
      <c r="N254" s="23" t="str">
        <f aca="false">IF($B254="","",$M254*(1-설정!$B$7))</f>
        <v/>
      </c>
      <c r="O254" s="23" t="str">
        <f aca="false">IF($B254="","",$N254-($G254*$E254+$H254))</f>
        <v/>
      </c>
      <c r="P254" s="24" t="str">
        <f aca="true">IF($B254="","",IF(AND($I254=설정!$A$11,$A254&lt;&gt;"",TODAY()-$A254&gt;=설정!$B$8),"지연!",""))</f>
        <v/>
      </c>
    </row>
    <row r="255" customFormat="false" ht="15" hidden="false" customHeight="false" outlineLevel="0" collapsed="false">
      <c r="A255" s="19"/>
      <c r="B255" s="20"/>
      <c r="C255" s="5"/>
      <c r="D255" s="5"/>
      <c r="E255" s="21"/>
      <c r="F255" s="22"/>
      <c r="G255" s="22"/>
      <c r="H255" s="22"/>
      <c r="I255" s="15"/>
      <c r="J255" s="19"/>
      <c r="K255" s="20"/>
      <c r="L255" s="20"/>
      <c r="M255" s="23" t="str">
        <f aca="false">IF($B255="","",$F255*$E255)</f>
        <v/>
      </c>
      <c r="N255" s="23" t="str">
        <f aca="false">IF($B255="","",$M255*(1-설정!$B$7))</f>
        <v/>
      </c>
      <c r="O255" s="23" t="str">
        <f aca="false">IF($B255="","",$N255-($G255*$E255+$H255))</f>
        <v/>
      </c>
      <c r="P255" s="24" t="str">
        <f aca="true">IF($B255="","",IF(AND($I255=설정!$A$11,$A255&lt;&gt;"",TODAY()-$A255&gt;=설정!$B$8),"지연!",""))</f>
        <v/>
      </c>
    </row>
    <row r="256" customFormat="false" ht="15" hidden="false" customHeight="false" outlineLevel="0" collapsed="false">
      <c r="A256" s="19"/>
      <c r="B256" s="20"/>
      <c r="C256" s="5"/>
      <c r="D256" s="5"/>
      <c r="E256" s="21"/>
      <c r="F256" s="22"/>
      <c r="G256" s="22"/>
      <c r="H256" s="22"/>
      <c r="I256" s="15"/>
      <c r="J256" s="19"/>
      <c r="K256" s="20"/>
      <c r="L256" s="20"/>
      <c r="M256" s="23" t="str">
        <f aca="false">IF($B256="","",$F256*$E256)</f>
        <v/>
      </c>
      <c r="N256" s="23" t="str">
        <f aca="false">IF($B256="","",$M256*(1-설정!$B$7))</f>
        <v/>
      </c>
      <c r="O256" s="23" t="str">
        <f aca="false">IF($B256="","",$N256-($G256*$E256+$H256))</f>
        <v/>
      </c>
      <c r="P256" s="24" t="str">
        <f aca="true">IF($B256="","",IF(AND($I256=설정!$A$11,$A256&lt;&gt;"",TODAY()-$A256&gt;=설정!$B$8),"지연!",""))</f>
        <v/>
      </c>
    </row>
    <row r="257" customFormat="false" ht="15" hidden="false" customHeight="false" outlineLevel="0" collapsed="false">
      <c r="A257" s="19"/>
      <c r="B257" s="20"/>
      <c r="C257" s="5"/>
      <c r="D257" s="5"/>
      <c r="E257" s="21"/>
      <c r="F257" s="22"/>
      <c r="G257" s="22"/>
      <c r="H257" s="22"/>
      <c r="I257" s="15"/>
      <c r="J257" s="19"/>
      <c r="K257" s="20"/>
      <c r="L257" s="20"/>
      <c r="M257" s="23" t="str">
        <f aca="false">IF($B257="","",$F257*$E257)</f>
        <v/>
      </c>
      <c r="N257" s="23" t="str">
        <f aca="false">IF($B257="","",$M257*(1-설정!$B$7))</f>
        <v/>
      </c>
      <c r="O257" s="23" t="str">
        <f aca="false">IF($B257="","",$N257-($G257*$E257+$H257))</f>
        <v/>
      </c>
      <c r="P257" s="24" t="str">
        <f aca="true">IF($B257="","",IF(AND($I257=설정!$A$11,$A257&lt;&gt;"",TODAY()-$A257&gt;=설정!$B$8),"지연!",""))</f>
        <v/>
      </c>
    </row>
    <row r="258" customFormat="false" ht="15" hidden="false" customHeight="false" outlineLevel="0" collapsed="false">
      <c r="A258" s="19"/>
      <c r="B258" s="20"/>
      <c r="C258" s="5"/>
      <c r="D258" s="5"/>
      <c r="E258" s="21"/>
      <c r="F258" s="22"/>
      <c r="G258" s="22"/>
      <c r="H258" s="22"/>
      <c r="I258" s="15"/>
      <c r="J258" s="19"/>
      <c r="K258" s="20"/>
      <c r="L258" s="20"/>
      <c r="M258" s="23" t="str">
        <f aca="false">IF($B258="","",$F258*$E258)</f>
        <v/>
      </c>
      <c r="N258" s="23" t="str">
        <f aca="false">IF($B258="","",$M258*(1-설정!$B$7))</f>
        <v/>
      </c>
      <c r="O258" s="23" t="str">
        <f aca="false">IF($B258="","",$N258-($G258*$E258+$H258))</f>
        <v/>
      </c>
      <c r="P258" s="24" t="str">
        <f aca="true">IF($B258="","",IF(AND($I258=설정!$A$11,$A258&lt;&gt;"",TODAY()-$A258&gt;=설정!$B$8),"지연!",""))</f>
        <v/>
      </c>
    </row>
    <row r="259" customFormat="false" ht="15" hidden="false" customHeight="false" outlineLevel="0" collapsed="false">
      <c r="A259" s="19"/>
      <c r="B259" s="20"/>
      <c r="C259" s="5"/>
      <c r="D259" s="5"/>
      <c r="E259" s="21"/>
      <c r="F259" s="22"/>
      <c r="G259" s="22"/>
      <c r="H259" s="22"/>
      <c r="I259" s="15"/>
      <c r="J259" s="19"/>
      <c r="K259" s="20"/>
      <c r="L259" s="20"/>
      <c r="M259" s="23" t="str">
        <f aca="false">IF($B259="","",$F259*$E259)</f>
        <v/>
      </c>
      <c r="N259" s="23" t="str">
        <f aca="false">IF($B259="","",$M259*(1-설정!$B$7))</f>
        <v/>
      </c>
      <c r="O259" s="23" t="str">
        <f aca="false">IF($B259="","",$N259-($G259*$E259+$H259))</f>
        <v/>
      </c>
      <c r="P259" s="24" t="str">
        <f aca="true">IF($B259="","",IF(AND($I259=설정!$A$11,$A259&lt;&gt;"",TODAY()-$A259&gt;=설정!$B$8),"지연!",""))</f>
        <v/>
      </c>
    </row>
    <row r="260" customFormat="false" ht="15" hidden="false" customHeight="false" outlineLevel="0" collapsed="false">
      <c r="A260" s="19"/>
      <c r="B260" s="20"/>
      <c r="C260" s="5"/>
      <c r="D260" s="5"/>
      <c r="E260" s="21"/>
      <c r="F260" s="22"/>
      <c r="G260" s="22"/>
      <c r="H260" s="22"/>
      <c r="I260" s="15"/>
      <c r="J260" s="19"/>
      <c r="K260" s="20"/>
      <c r="L260" s="20"/>
      <c r="M260" s="23" t="str">
        <f aca="false">IF($B260="","",$F260*$E260)</f>
        <v/>
      </c>
      <c r="N260" s="23" t="str">
        <f aca="false">IF($B260="","",$M260*(1-설정!$B$7))</f>
        <v/>
      </c>
      <c r="O260" s="23" t="str">
        <f aca="false">IF($B260="","",$N260-($G260*$E260+$H260))</f>
        <v/>
      </c>
      <c r="P260" s="24" t="str">
        <f aca="true">IF($B260="","",IF(AND($I260=설정!$A$11,$A260&lt;&gt;"",TODAY()-$A260&gt;=설정!$B$8),"지연!",""))</f>
        <v/>
      </c>
    </row>
    <row r="261" customFormat="false" ht="15" hidden="false" customHeight="false" outlineLevel="0" collapsed="false">
      <c r="A261" s="19"/>
      <c r="B261" s="20"/>
      <c r="C261" s="5"/>
      <c r="D261" s="5"/>
      <c r="E261" s="21"/>
      <c r="F261" s="22"/>
      <c r="G261" s="22"/>
      <c r="H261" s="22"/>
      <c r="I261" s="15"/>
      <c r="J261" s="19"/>
      <c r="K261" s="20"/>
      <c r="L261" s="20"/>
      <c r="M261" s="23" t="str">
        <f aca="false">IF($B261="","",$F261*$E261)</f>
        <v/>
      </c>
      <c r="N261" s="23" t="str">
        <f aca="false">IF($B261="","",$M261*(1-설정!$B$7))</f>
        <v/>
      </c>
      <c r="O261" s="23" t="str">
        <f aca="false">IF($B261="","",$N261-($G261*$E261+$H261))</f>
        <v/>
      </c>
      <c r="P261" s="24" t="str">
        <f aca="true">IF($B261="","",IF(AND($I261=설정!$A$11,$A261&lt;&gt;"",TODAY()-$A261&gt;=설정!$B$8),"지연!",""))</f>
        <v/>
      </c>
    </row>
    <row r="262" customFormat="false" ht="15" hidden="false" customHeight="false" outlineLevel="0" collapsed="false">
      <c r="A262" s="19"/>
      <c r="B262" s="20"/>
      <c r="C262" s="5"/>
      <c r="D262" s="5"/>
      <c r="E262" s="21"/>
      <c r="F262" s="22"/>
      <c r="G262" s="22"/>
      <c r="H262" s="22"/>
      <c r="I262" s="15"/>
      <c r="J262" s="19"/>
      <c r="K262" s="20"/>
      <c r="L262" s="20"/>
      <c r="M262" s="23" t="str">
        <f aca="false">IF($B262="","",$F262*$E262)</f>
        <v/>
      </c>
      <c r="N262" s="23" t="str">
        <f aca="false">IF($B262="","",$M262*(1-설정!$B$7))</f>
        <v/>
      </c>
      <c r="O262" s="23" t="str">
        <f aca="false">IF($B262="","",$N262-($G262*$E262+$H262))</f>
        <v/>
      </c>
      <c r="P262" s="24" t="str">
        <f aca="true">IF($B262="","",IF(AND($I262=설정!$A$11,$A262&lt;&gt;"",TODAY()-$A262&gt;=설정!$B$8),"지연!",""))</f>
        <v/>
      </c>
    </row>
    <row r="263" customFormat="false" ht="15" hidden="false" customHeight="false" outlineLevel="0" collapsed="false">
      <c r="A263" s="19"/>
      <c r="B263" s="20"/>
      <c r="C263" s="5"/>
      <c r="D263" s="5"/>
      <c r="E263" s="21"/>
      <c r="F263" s="22"/>
      <c r="G263" s="22"/>
      <c r="H263" s="22"/>
      <c r="I263" s="15"/>
      <c r="J263" s="19"/>
      <c r="K263" s="20"/>
      <c r="L263" s="20"/>
      <c r="M263" s="23" t="str">
        <f aca="false">IF($B263="","",$F263*$E263)</f>
        <v/>
      </c>
      <c r="N263" s="23" t="str">
        <f aca="false">IF($B263="","",$M263*(1-설정!$B$7))</f>
        <v/>
      </c>
      <c r="O263" s="23" t="str">
        <f aca="false">IF($B263="","",$N263-($G263*$E263+$H263))</f>
        <v/>
      </c>
      <c r="P263" s="24" t="str">
        <f aca="true">IF($B263="","",IF(AND($I263=설정!$A$11,$A263&lt;&gt;"",TODAY()-$A263&gt;=설정!$B$8),"지연!",""))</f>
        <v/>
      </c>
    </row>
    <row r="264" customFormat="false" ht="15" hidden="false" customHeight="false" outlineLevel="0" collapsed="false">
      <c r="A264" s="19"/>
      <c r="B264" s="20"/>
      <c r="C264" s="5"/>
      <c r="D264" s="5"/>
      <c r="E264" s="21"/>
      <c r="F264" s="22"/>
      <c r="G264" s="22"/>
      <c r="H264" s="22"/>
      <c r="I264" s="15"/>
      <c r="J264" s="19"/>
      <c r="K264" s="20"/>
      <c r="L264" s="20"/>
      <c r="M264" s="23" t="str">
        <f aca="false">IF($B264="","",$F264*$E264)</f>
        <v/>
      </c>
      <c r="N264" s="23" t="str">
        <f aca="false">IF($B264="","",$M264*(1-설정!$B$7))</f>
        <v/>
      </c>
      <c r="O264" s="23" t="str">
        <f aca="false">IF($B264="","",$N264-($G264*$E264+$H264))</f>
        <v/>
      </c>
      <c r="P264" s="24" t="str">
        <f aca="true">IF($B264="","",IF(AND($I264=설정!$A$11,$A264&lt;&gt;"",TODAY()-$A264&gt;=설정!$B$8),"지연!",""))</f>
        <v/>
      </c>
    </row>
    <row r="265" customFormat="false" ht="15" hidden="false" customHeight="false" outlineLevel="0" collapsed="false">
      <c r="A265" s="19"/>
      <c r="B265" s="20"/>
      <c r="C265" s="5"/>
      <c r="D265" s="5"/>
      <c r="E265" s="21"/>
      <c r="F265" s="22"/>
      <c r="G265" s="22"/>
      <c r="H265" s="22"/>
      <c r="I265" s="15"/>
      <c r="J265" s="19"/>
      <c r="K265" s="20"/>
      <c r="L265" s="20"/>
      <c r="M265" s="23" t="str">
        <f aca="false">IF($B265="","",$F265*$E265)</f>
        <v/>
      </c>
      <c r="N265" s="23" t="str">
        <f aca="false">IF($B265="","",$M265*(1-설정!$B$7))</f>
        <v/>
      </c>
      <c r="O265" s="23" t="str">
        <f aca="false">IF($B265="","",$N265-($G265*$E265+$H265))</f>
        <v/>
      </c>
      <c r="P265" s="24" t="str">
        <f aca="true">IF($B265="","",IF(AND($I265=설정!$A$11,$A265&lt;&gt;"",TODAY()-$A265&gt;=설정!$B$8),"지연!",""))</f>
        <v/>
      </c>
    </row>
    <row r="266" customFormat="false" ht="15" hidden="false" customHeight="false" outlineLevel="0" collapsed="false">
      <c r="A266" s="19"/>
      <c r="B266" s="20"/>
      <c r="C266" s="5"/>
      <c r="D266" s="5"/>
      <c r="E266" s="21"/>
      <c r="F266" s="22"/>
      <c r="G266" s="22"/>
      <c r="H266" s="22"/>
      <c r="I266" s="15"/>
      <c r="J266" s="19"/>
      <c r="K266" s="20"/>
      <c r="L266" s="20"/>
      <c r="M266" s="23" t="str">
        <f aca="false">IF($B266="","",$F266*$E266)</f>
        <v/>
      </c>
      <c r="N266" s="23" t="str">
        <f aca="false">IF($B266="","",$M266*(1-설정!$B$7))</f>
        <v/>
      </c>
      <c r="O266" s="23" t="str">
        <f aca="false">IF($B266="","",$N266-($G266*$E266+$H266))</f>
        <v/>
      </c>
      <c r="P266" s="24" t="str">
        <f aca="true">IF($B266="","",IF(AND($I266=설정!$A$11,$A266&lt;&gt;"",TODAY()-$A266&gt;=설정!$B$8),"지연!",""))</f>
        <v/>
      </c>
    </row>
    <row r="267" customFormat="false" ht="15" hidden="false" customHeight="false" outlineLevel="0" collapsed="false">
      <c r="A267" s="19"/>
      <c r="B267" s="20"/>
      <c r="C267" s="5"/>
      <c r="D267" s="5"/>
      <c r="E267" s="21"/>
      <c r="F267" s="22"/>
      <c r="G267" s="22"/>
      <c r="H267" s="22"/>
      <c r="I267" s="15"/>
      <c r="J267" s="19"/>
      <c r="K267" s="20"/>
      <c r="L267" s="20"/>
      <c r="M267" s="23" t="str">
        <f aca="false">IF($B267="","",$F267*$E267)</f>
        <v/>
      </c>
      <c r="N267" s="23" t="str">
        <f aca="false">IF($B267="","",$M267*(1-설정!$B$7))</f>
        <v/>
      </c>
      <c r="O267" s="23" t="str">
        <f aca="false">IF($B267="","",$N267-($G267*$E267+$H267))</f>
        <v/>
      </c>
      <c r="P267" s="24" t="str">
        <f aca="true">IF($B267="","",IF(AND($I267=설정!$A$11,$A267&lt;&gt;"",TODAY()-$A267&gt;=설정!$B$8),"지연!",""))</f>
        <v/>
      </c>
    </row>
    <row r="268" customFormat="false" ht="15" hidden="false" customHeight="false" outlineLevel="0" collapsed="false">
      <c r="A268" s="19"/>
      <c r="B268" s="20"/>
      <c r="C268" s="5"/>
      <c r="D268" s="5"/>
      <c r="E268" s="21"/>
      <c r="F268" s="22"/>
      <c r="G268" s="22"/>
      <c r="H268" s="22"/>
      <c r="I268" s="15"/>
      <c r="J268" s="19"/>
      <c r="K268" s="20"/>
      <c r="L268" s="20"/>
      <c r="M268" s="23" t="str">
        <f aca="false">IF($B268="","",$F268*$E268)</f>
        <v/>
      </c>
      <c r="N268" s="23" t="str">
        <f aca="false">IF($B268="","",$M268*(1-설정!$B$7))</f>
        <v/>
      </c>
      <c r="O268" s="23" t="str">
        <f aca="false">IF($B268="","",$N268-($G268*$E268+$H268))</f>
        <v/>
      </c>
      <c r="P268" s="24" t="str">
        <f aca="true">IF($B268="","",IF(AND($I268=설정!$A$11,$A268&lt;&gt;"",TODAY()-$A268&gt;=설정!$B$8),"지연!",""))</f>
        <v/>
      </c>
    </row>
    <row r="269" customFormat="false" ht="15" hidden="false" customHeight="false" outlineLevel="0" collapsed="false">
      <c r="A269" s="19"/>
      <c r="B269" s="20"/>
      <c r="C269" s="5"/>
      <c r="D269" s="5"/>
      <c r="E269" s="21"/>
      <c r="F269" s="22"/>
      <c r="G269" s="22"/>
      <c r="H269" s="22"/>
      <c r="I269" s="15"/>
      <c r="J269" s="19"/>
      <c r="K269" s="20"/>
      <c r="L269" s="20"/>
      <c r="M269" s="23" t="str">
        <f aca="false">IF($B269="","",$F269*$E269)</f>
        <v/>
      </c>
      <c r="N269" s="23" t="str">
        <f aca="false">IF($B269="","",$M269*(1-설정!$B$7))</f>
        <v/>
      </c>
      <c r="O269" s="23" t="str">
        <f aca="false">IF($B269="","",$N269-($G269*$E269+$H269))</f>
        <v/>
      </c>
      <c r="P269" s="24" t="str">
        <f aca="true">IF($B269="","",IF(AND($I269=설정!$A$11,$A269&lt;&gt;"",TODAY()-$A269&gt;=설정!$B$8),"지연!",""))</f>
        <v/>
      </c>
    </row>
    <row r="270" customFormat="false" ht="15" hidden="false" customHeight="false" outlineLevel="0" collapsed="false">
      <c r="A270" s="19"/>
      <c r="B270" s="20"/>
      <c r="C270" s="5"/>
      <c r="D270" s="5"/>
      <c r="E270" s="21"/>
      <c r="F270" s="22"/>
      <c r="G270" s="22"/>
      <c r="H270" s="22"/>
      <c r="I270" s="15"/>
      <c r="J270" s="19"/>
      <c r="K270" s="20"/>
      <c r="L270" s="20"/>
      <c r="M270" s="23" t="str">
        <f aca="false">IF($B270="","",$F270*$E270)</f>
        <v/>
      </c>
      <c r="N270" s="23" t="str">
        <f aca="false">IF($B270="","",$M270*(1-설정!$B$7))</f>
        <v/>
      </c>
      <c r="O270" s="23" t="str">
        <f aca="false">IF($B270="","",$N270-($G270*$E270+$H270))</f>
        <v/>
      </c>
      <c r="P270" s="24" t="str">
        <f aca="true">IF($B270="","",IF(AND($I270=설정!$A$11,$A270&lt;&gt;"",TODAY()-$A270&gt;=설정!$B$8),"지연!",""))</f>
        <v/>
      </c>
    </row>
    <row r="271" customFormat="false" ht="15" hidden="false" customHeight="false" outlineLevel="0" collapsed="false">
      <c r="A271" s="19"/>
      <c r="B271" s="20"/>
      <c r="C271" s="5"/>
      <c r="D271" s="5"/>
      <c r="E271" s="21"/>
      <c r="F271" s="22"/>
      <c r="G271" s="22"/>
      <c r="H271" s="22"/>
      <c r="I271" s="15"/>
      <c r="J271" s="19"/>
      <c r="K271" s="20"/>
      <c r="L271" s="20"/>
      <c r="M271" s="23" t="str">
        <f aca="false">IF($B271="","",$F271*$E271)</f>
        <v/>
      </c>
      <c r="N271" s="23" t="str">
        <f aca="false">IF($B271="","",$M271*(1-설정!$B$7))</f>
        <v/>
      </c>
      <c r="O271" s="23" t="str">
        <f aca="false">IF($B271="","",$N271-($G271*$E271+$H271))</f>
        <v/>
      </c>
      <c r="P271" s="24" t="str">
        <f aca="true">IF($B271="","",IF(AND($I271=설정!$A$11,$A271&lt;&gt;"",TODAY()-$A271&gt;=설정!$B$8),"지연!",""))</f>
        <v/>
      </c>
    </row>
    <row r="272" customFormat="false" ht="15" hidden="false" customHeight="false" outlineLevel="0" collapsed="false">
      <c r="A272" s="19"/>
      <c r="B272" s="20"/>
      <c r="C272" s="5"/>
      <c r="D272" s="5"/>
      <c r="E272" s="21"/>
      <c r="F272" s="22"/>
      <c r="G272" s="22"/>
      <c r="H272" s="22"/>
      <c r="I272" s="15"/>
      <c r="J272" s="19"/>
      <c r="K272" s="20"/>
      <c r="L272" s="20"/>
      <c r="M272" s="23" t="str">
        <f aca="false">IF($B272="","",$F272*$E272)</f>
        <v/>
      </c>
      <c r="N272" s="23" t="str">
        <f aca="false">IF($B272="","",$M272*(1-설정!$B$7))</f>
        <v/>
      </c>
      <c r="O272" s="23" t="str">
        <f aca="false">IF($B272="","",$N272-($G272*$E272+$H272))</f>
        <v/>
      </c>
      <c r="P272" s="24" t="str">
        <f aca="true">IF($B272="","",IF(AND($I272=설정!$A$11,$A272&lt;&gt;"",TODAY()-$A272&gt;=설정!$B$8),"지연!",""))</f>
        <v/>
      </c>
    </row>
    <row r="273" customFormat="false" ht="15" hidden="false" customHeight="false" outlineLevel="0" collapsed="false">
      <c r="A273" s="19"/>
      <c r="B273" s="20"/>
      <c r="C273" s="5"/>
      <c r="D273" s="5"/>
      <c r="E273" s="21"/>
      <c r="F273" s="22"/>
      <c r="G273" s="22"/>
      <c r="H273" s="22"/>
      <c r="I273" s="15"/>
      <c r="J273" s="19"/>
      <c r="K273" s="20"/>
      <c r="L273" s="20"/>
      <c r="M273" s="23" t="str">
        <f aca="false">IF($B273="","",$F273*$E273)</f>
        <v/>
      </c>
      <c r="N273" s="23" t="str">
        <f aca="false">IF($B273="","",$M273*(1-설정!$B$7))</f>
        <v/>
      </c>
      <c r="O273" s="23" t="str">
        <f aca="false">IF($B273="","",$N273-($G273*$E273+$H273))</f>
        <v/>
      </c>
      <c r="P273" s="24" t="str">
        <f aca="true">IF($B273="","",IF(AND($I273=설정!$A$11,$A273&lt;&gt;"",TODAY()-$A273&gt;=설정!$B$8),"지연!",""))</f>
        <v/>
      </c>
    </row>
    <row r="274" customFormat="false" ht="15" hidden="false" customHeight="false" outlineLevel="0" collapsed="false">
      <c r="A274" s="19"/>
      <c r="B274" s="20"/>
      <c r="C274" s="5"/>
      <c r="D274" s="5"/>
      <c r="E274" s="21"/>
      <c r="F274" s="22"/>
      <c r="G274" s="22"/>
      <c r="H274" s="22"/>
      <c r="I274" s="15"/>
      <c r="J274" s="19"/>
      <c r="K274" s="20"/>
      <c r="L274" s="20"/>
      <c r="M274" s="23" t="str">
        <f aca="false">IF($B274="","",$F274*$E274)</f>
        <v/>
      </c>
      <c r="N274" s="23" t="str">
        <f aca="false">IF($B274="","",$M274*(1-설정!$B$7))</f>
        <v/>
      </c>
      <c r="O274" s="23" t="str">
        <f aca="false">IF($B274="","",$N274-($G274*$E274+$H274))</f>
        <v/>
      </c>
      <c r="P274" s="24" t="str">
        <f aca="true">IF($B274="","",IF(AND($I274=설정!$A$11,$A274&lt;&gt;"",TODAY()-$A274&gt;=설정!$B$8),"지연!",""))</f>
        <v/>
      </c>
    </row>
    <row r="275" customFormat="false" ht="15" hidden="false" customHeight="false" outlineLevel="0" collapsed="false">
      <c r="A275" s="19"/>
      <c r="B275" s="20"/>
      <c r="C275" s="5"/>
      <c r="D275" s="5"/>
      <c r="E275" s="21"/>
      <c r="F275" s="22"/>
      <c r="G275" s="22"/>
      <c r="H275" s="22"/>
      <c r="I275" s="15"/>
      <c r="J275" s="19"/>
      <c r="K275" s="20"/>
      <c r="L275" s="20"/>
      <c r="M275" s="23" t="str">
        <f aca="false">IF($B275="","",$F275*$E275)</f>
        <v/>
      </c>
      <c r="N275" s="23" t="str">
        <f aca="false">IF($B275="","",$M275*(1-설정!$B$7))</f>
        <v/>
      </c>
      <c r="O275" s="23" t="str">
        <f aca="false">IF($B275="","",$N275-($G275*$E275+$H275))</f>
        <v/>
      </c>
      <c r="P275" s="24" t="str">
        <f aca="true">IF($B275="","",IF(AND($I275=설정!$A$11,$A275&lt;&gt;"",TODAY()-$A275&gt;=설정!$B$8),"지연!",""))</f>
        <v/>
      </c>
    </row>
    <row r="276" customFormat="false" ht="15" hidden="false" customHeight="false" outlineLevel="0" collapsed="false">
      <c r="A276" s="19"/>
      <c r="B276" s="20"/>
      <c r="C276" s="5"/>
      <c r="D276" s="5"/>
      <c r="E276" s="21"/>
      <c r="F276" s="22"/>
      <c r="G276" s="22"/>
      <c r="H276" s="22"/>
      <c r="I276" s="15"/>
      <c r="J276" s="19"/>
      <c r="K276" s="20"/>
      <c r="L276" s="20"/>
      <c r="M276" s="23" t="str">
        <f aca="false">IF($B276="","",$F276*$E276)</f>
        <v/>
      </c>
      <c r="N276" s="23" t="str">
        <f aca="false">IF($B276="","",$M276*(1-설정!$B$7))</f>
        <v/>
      </c>
      <c r="O276" s="23" t="str">
        <f aca="false">IF($B276="","",$N276-($G276*$E276+$H276))</f>
        <v/>
      </c>
      <c r="P276" s="24" t="str">
        <f aca="true">IF($B276="","",IF(AND($I276=설정!$A$11,$A276&lt;&gt;"",TODAY()-$A276&gt;=설정!$B$8),"지연!",""))</f>
        <v/>
      </c>
    </row>
    <row r="277" customFormat="false" ht="15" hidden="false" customHeight="false" outlineLevel="0" collapsed="false">
      <c r="A277" s="19"/>
      <c r="B277" s="20"/>
      <c r="C277" s="5"/>
      <c r="D277" s="5"/>
      <c r="E277" s="21"/>
      <c r="F277" s="22"/>
      <c r="G277" s="22"/>
      <c r="H277" s="22"/>
      <c r="I277" s="15"/>
      <c r="J277" s="19"/>
      <c r="K277" s="20"/>
      <c r="L277" s="20"/>
      <c r="M277" s="23" t="str">
        <f aca="false">IF($B277="","",$F277*$E277)</f>
        <v/>
      </c>
      <c r="N277" s="23" t="str">
        <f aca="false">IF($B277="","",$M277*(1-설정!$B$7))</f>
        <v/>
      </c>
      <c r="O277" s="23" t="str">
        <f aca="false">IF($B277="","",$N277-($G277*$E277+$H277))</f>
        <v/>
      </c>
      <c r="P277" s="24" t="str">
        <f aca="true">IF($B277="","",IF(AND($I277=설정!$A$11,$A277&lt;&gt;"",TODAY()-$A277&gt;=설정!$B$8),"지연!",""))</f>
        <v/>
      </c>
    </row>
    <row r="278" customFormat="false" ht="15" hidden="false" customHeight="false" outlineLevel="0" collapsed="false">
      <c r="A278" s="19"/>
      <c r="B278" s="20"/>
      <c r="C278" s="5"/>
      <c r="D278" s="5"/>
      <c r="E278" s="21"/>
      <c r="F278" s="22"/>
      <c r="G278" s="22"/>
      <c r="H278" s="22"/>
      <c r="I278" s="15"/>
      <c r="J278" s="19"/>
      <c r="K278" s="20"/>
      <c r="L278" s="20"/>
      <c r="M278" s="23" t="str">
        <f aca="false">IF($B278="","",$F278*$E278)</f>
        <v/>
      </c>
      <c r="N278" s="23" t="str">
        <f aca="false">IF($B278="","",$M278*(1-설정!$B$7))</f>
        <v/>
      </c>
      <c r="O278" s="23" t="str">
        <f aca="false">IF($B278="","",$N278-($G278*$E278+$H278))</f>
        <v/>
      </c>
      <c r="P278" s="24" t="str">
        <f aca="true">IF($B278="","",IF(AND($I278=설정!$A$11,$A278&lt;&gt;"",TODAY()-$A278&gt;=설정!$B$8),"지연!",""))</f>
        <v/>
      </c>
    </row>
    <row r="279" customFormat="false" ht="15" hidden="false" customHeight="false" outlineLevel="0" collapsed="false">
      <c r="A279" s="19"/>
      <c r="B279" s="20"/>
      <c r="C279" s="5"/>
      <c r="D279" s="5"/>
      <c r="E279" s="21"/>
      <c r="F279" s="22"/>
      <c r="G279" s="22"/>
      <c r="H279" s="22"/>
      <c r="I279" s="15"/>
      <c r="J279" s="19"/>
      <c r="K279" s="20"/>
      <c r="L279" s="20"/>
      <c r="M279" s="23" t="str">
        <f aca="false">IF($B279="","",$F279*$E279)</f>
        <v/>
      </c>
      <c r="N279" s="23" t="str">
        <f aca="false">IF($B279="","",$M279*(1-설정!$B$7))</f>
        <v/>
      </c>
      <c r="O279" s="23" t="str">
        <f aca="false">IF($B279="","",$N279-($G279*$E279+$H279))</f>
        <v/>
      </c>
      <c r="P279" s="24" t="str">
        <f aca="true">IF($B279="","",IF(AND($I279=설정!$A$11,$A279&lt;&gt;"",TODAY()-$A279&gt;=설정!$B$8),"지연!",""))</f>
        <v/>
      </c>
    </row>
    <row r="280" customFormat="false" ht="15" hidden="false" customHeight="false" outlineLevel="0" collapsed="false">
      <c r="A280" s="19"/>
      <c r="B280" s="20"/>
      <c r="C280" s="5"/>
      <c r="D280" s="5"/>
      <c r="E280" s="21"/>
      <c r="F280" s="22"/>
      <c r="G280" s="22"/>
      <c r="H280" s="22"/>
      <c r="I280" s="15"/>
      <c r="J280" s="19"/>
      <c r="K280" s="20"/>
      <c r="L280" s="20"/>
      <c r="M280" s="23" t="str">
        <f aca="false">IF($B280="","",$F280*$E280)</f>
        <v/>
      </c>
      <c r="N280" s="23" t="str">
        <f aca="false">IF($B280="","",$M280*(1-설정!$B$7))</f>
        <v/>
      </c>
      <c r="O280" s="23" t="str">
        <f aca="false">IF($B280="","",$N280-($G280*$E280+$H280))</f>
        <v/>
      </c>
      <c r="P280" s="24" t="str">
        <f aca="true">IF($B280="","",IF(AND($I280=설정!$A$11,$A280&lt;&gt;"",TODAY()-$A280&gt;=설정!$B$8),"지연!",""))</f>
        <v/>
      </c>
    </row>
    <row r="281" customFormat="false" ht="15" hidden="false" customHeight="false" outlineLevel="0" collapsed="false">
      <c r="A281" s="19"/>
      <c r="B281" s="20"/>
      <c r="C281" s="5"/>
      <c r="D281" s="5"/>
      <c r="E281" s="21"/>
      <c r="F281" s="22"/>
      <c r="G281" s="22"/>
      <c r="H281" s="22"/>
      <c r="I281" s="15"/>
      <c r="J281" s="19"/>
      <c r="K281" s="20"/>
      <c r="L281" s="20"/>
      <c r="M281" s="23" t="str">
        <f aca="false">IF($B281="","",$F281*$E281)</f>
        <v/>
      </c>
      <c r="N281" s="23" t="str">
        <f aca="false">IF($B281="","",$M281*(1-설정!$B$7))</f>
        <v/>
      </c>
      <c r="O281" s="23" t="str">
        <f aca="false">IF($B281="","",$N281-($G281*$E281+$H281))</f>
        <v/>
      </c>
      <c r="P281" s="24" t="str">
        <f aca="true">IF($B281="","",IF(AND($I281=설정!$A$11,$A281&lt;&gt;"",TODAY()-$A281&gt;=설정!$B$8),"지연!",""))</f>
        <v/>
      </c>
    </row>
    <row r="282" customFormat="false" ht="15" hidden="false" customHeight="false" outlineLevel="0" collapsed="false">
      <c r="A282" s="19"/>
      <c r="B282" s="20"/>
      <c r="C282" s="5"/>
      <c r="D282" s="5"/>
      <c r="E282" s="21"/>
      <c r="F282" s="22"/>
      <c r="G282" s="22"/>
      <c r="H282" s="22"/>
      <c r="I282" s="15"/>
      <c r="J282" s="19"/>
      <c r="K282" s="20"/>
      <c r="L282" s="20"/>
      <c r="M282" s="23" t="str">
        <f aca="false">IF($B282="","",$F282*$E282)</f>
        <v/>
      </c>
      <c r="N282" s="23" t="str">
        <f aca="false">IF($B282="","",$M282*(1-설정!$B$7))</f>
        <v/>
      </c>
      <c r="O282" s="23" t="str">
        <f aca="false">IF($B282="","",$N282-($G282*$E282+$H282))</f>
        <v/>
      </c>
      <c r="P282" s="24" t="str">
        <f aca="true">IF($B282="","",IF(AND($I282=설정!$A$11,$A282&lt;&gt;"",TODAY()-$A282&gt;=설정!$B$8),"지연!",""))</f>
        <v/>
      </c>
    </row>
    <row r="283" customFormat="false" ht="15" hidden="false" customHeight="false" outlineLevel="0" collapsed="false">
      <c r="A283" s="19"/>
      <c r="B283" s="20"/>
      <c r="C283" s="5"/>
      <c r="D283" s="5"/>
      <c r="E283" s="21"/>
      <c r="F283" s="22"/>
      <c r="G283" s="22"/>
      <c r="H283" s="22"/>
      <c r="I283" s="15"/>
      <c r="J283" s="19"/>
      <c r="K283" s="20"/>
      <c r="L283" s="20"/>
      <c r="M283" s="23" t="str">
        <f aca="false">IF($B283="","",$F283*$E283)</f>
        <v/>
      </c>
      <c r="N283" s="23" t="str">
        <f aca="false">IF($B283="","",$M283*(1-설정!$B$7))</f>
        <v/>
      </c>
      <c r="O283" s="23" t="str">
        <f aca="false">IF($B283="","",$N283-($G283*$E283+$H283))</f>
        <v/>
      </c>
      <c r="P283" s="24" t="str">
        <f aca="true">IF($B283="","",IF(AND($I283=설정!$A$11,$A283&lt;&gt;"",TODAY()-$A283&gt;=설정!$B$8),"지연!",""))</f>
        <v/>
      </c>
    </row>
    <row r="284" customFormat="false" ht="15" hidden="false" customHeight="false" outlineLevel="0" collapsed="false">
      <c r="A284" s="19"/>
      <c r="B284" s="20"/>
      <c r="C284" s="5"/>
      <c r="D284" s="5"/>
      <c r="E284" s="21"/>
      <c r="F284" s="22"/>
      <c r="G284" s="22"/>
      <c r="H284" s="22"/>
      <c r="I284" s="15"/>
      <c r="J284" s="19"/>
      <c r="K284" s="20"/>
      <c r="L284" s="20"/>
      <c r="M284" s="23" t="str">
        <f aca="false">IF($B284="","",$F284*$E284)</f>
        <v/>
      </c>
      <c r="N284" s="23" t="str">
        <f aca="false">IF($B284="","",$M284*(1-설정!$B$7))</f>
        <v/>
      </c>
      <c r="O284" s="23" t="str">
        <f aca="false">IF($B284="","",$N284-($G284*$E284+$H284))</f>
        <v/>
      </c>
      <c r="P284" s="24" t="str">
        <f aca="true">IF($B284="","",IF(AND($I284=설정!$A$11,$A284&lt;&gt;"",TODAY()-$A284&gt;=설정!$B$8),"지연!",""))</f>
        <v/>
      </c>
    </row>
    <row r="285" customFormat="false" ht="15" hidden="false" customHeight="false" outlineLevel="0" collapsed="false">
      <c r="A285" s="19"/>
      <c r="B285" s="20"/>
      <c r="C285" s="5"/>
      <c r="D285" s="5"/>
      <c r="E285" s="21"/>
      <c r="F285" s="22"/>
      <c r="G285" s="22"/>
      <c r="H285" s="22"/>
      <c r="I285" s="15"/>
      <c r="J285" s="19"/>
      <c r="K285" s="20"/>
      <c r="L285" s="20"/>
      <c r="M285" s="23" t="str">
        <f aca="false">IF($B285="","",$F285*$E285)</f>
        <v/>
      </c>
      <c r="N285" s="23" t="str">
        <f aca="false">IF($B285="","",$M285*(1-설정!$B$7))</f>
        <v/>
      </c>
      <c r="O285" s="23" t="str">
        <f aca="false">IF($B285="","",$N285-($G285*$E285+$H285))</f>
        <v/>
      </c>
      <c r="P285" s="24" t="str">
        <f aca="true">IF($B285="","",IF(AND($I285=설정!$A$11,$A285&lt;&gt;"",TODAY()-$A285&gt;=설정!$B$8),"지연!",""))</f>
        <v/>
      </c>
    </row>
    <row r="286" customFormat="false" ht="15" hidden="false" customHeight="false" outlineLevel="0" collapsed="false">
      <c r="A286" s="19"/>
      <c r="B286" s="20"/>
      <c r="C286" s="5"/>
      <c r="D286" s="5"/>
      <c r="E286" s="21"/>
      <c r="F286" s="22"/>
      <c r="G286" s="22"/>
      <c r="H286" s="22"/>
      <c r="I286" s="15"/>
      <c r="J286" s="19"/>
      <c r="K286" s="20"/>
      <c r="L286" s="20"/>
      <c r="M286" s="23" t="str">
        <f aca="false">IF($B286="","",$F286*$E286)</f>
        <v/>
      </c>
      <c r="N286" s="23" t="str">
        <f aca="false">IF($B286="","",$M286*(1-설정!$B$7))</f>
        <v/>
      </c>
      <c r="O286" s="23" t="str">
        <f aca="false">IF($B286="","",$N286-($G286*$E286+$H286))</f>
        <v/>
      </c>
      <c r="P286" s="24" t="str">
        <f aca="true">IF($B286="","",IF(AND($I286=설정!$A$11,$A286&lt;&gt;"",TODAY()-$A286&gt;=설정!$B$8),"지연!",""))</f>
        <v/>
      </c>
    </row>
    <row r="287" customFormat="false" ht="15" hidden="false" customHeight="false" outlineLevel="0" collapsed="false">
      <c r="A287" s="19"/>
      <c r="B287" s="20"/>
      <c r="C287" s="5"/>
      <c r="D287" s="5"/>
      <c r="E287" s="21"/>
      <c r="F287" s="22"/>
      <c r="G287" s="22"/>
      <c r="H287" s="22"/>
      <c r="I287" s="15"/>
      <c r="J287" s="19"/>
      <c r="K287" s="20"/>
      <c r="L287" s="20"/>
      <c r="M287" s="23" t="str">
        <f aca="false">IF($B287="","",$F287*$E287)</f>
        <v/>
      </c>
      <c r="N287" s="23" t="str">
        <f aca="false">IF($B287="","",$M287*(1-설정!$B$7))</f>
        <v/>
      </c>
      <c r="O287" s="23" t="str">
        <f aca="false">IF($B287="","",$N287-($G287*$E287+$H287))</f>
        <v/>
      </c>
      <c r="P287" s="24" t="str">
        <f aca="true">IF($B287="","",IF(AND($I287=설정!$A$11,$A287&lt;&gt;"",TODAY()-$A287&gt;=설정!$B$8),"지연!",""))</f>
        <v/>
      </c>
    </row>
    <row r="288" customFormat="false" ht="15" hidden="false" customHeight="false" outlineLevel="0" collapsed="false">
      <c r="A288" s="19"/>
      <c r="B288" s="20"/>
      <c r="C288" s="5"/>
      <c r="D288" s="5"/>
      <c r="E288" s="21"/>
      <c r="F288" s="22"/>
      <c r="G288" s="22"/>
      <c r="H288" s="22"/>
      <c r="I288" s="15"/>
      <c r="J288" s="19"/>
      <c r="K288" s="20"/>
      <c r="L288" s="20"/>
      <c r="M288" s="23" t="str">
        <f aca="false">IF($B288="","",$F288*$E288)</f>
        <v/>
      </c>
      <c r="N288" s="23" t="str">
        <f aca="false">IF($B288="","",$M288*(1-설정!$B$7))</f>
        <v/>
      </c>
      <c r="O288" s="23" t="str">
        <f aca="false">IF($B288="","",$N288-($G288*$E288+$H288))</f>
        <v/>
      </c>
      <c r="P288" s="24" t="str">
        <f aca="true">IF($B288="","",IF(AND($I288=설정!$A$11,$A288&lt;&gt;"",TODAY()-$A288&gt;=설정!$B$8),"지연!",""))</f>
        <v/>
      </c>
    </row>
    <row r="289" customFormat="false" ht="15" hidden="false" customHeight="false" outlineLevel="0" collapsed="false">
      <c r="A289" s="19"/>
      <c r="B289" s="20"/>
      <c r="C289" s="5"/>
      <c r="D289" s="5"/>
      <c r="E289" s="21"/>
      <c r="F289" s="22"/>
      <c r="G289" s="22"/>
      <c r="H289" s="22"/>
      <c r="I289" s="15"/>
      <c r="J289" s="19"/>
      <c r="K289" s="20"/>
      <c r="L289" s="20"/>
      <c r="M289" s="23" t="str">
        <f aca="false">IF($B289="","",$F289*$E289)</f>
        <v/>
      </c>
      <c r="N289" s="23" t="str">
        <f aca="false">IF($B289="","",$M289*(1-설정!$B$7))</f>
        <v/>
      </c>
      <c r="O289" s="23" t="str">
        <f aca="false">IF($B289="","",$N289-($G289*$E289+$H289))</f>
        <v/>
      </c>
      <c r="P289" s="24" t="str">
        <f aca="true">IF($B289="","",IF(AND($I289=설정!$A$11,$A289&lt;&gt;"",TODAY()-$A289&gt;=설정!$B$8),"지연!",""))</f>
        <v/>
      </c>
    </row>
    <row r="290" customFormat="false" ht="15" hidden="false" customHeight="false" outlineLevel="0" collapsed="false">
      <c r="A290" s="19"/>
      <c r="B290" s="20"/>
      <c r="C290" s="5"/>
      <c r="D290" s="5"/>
      <c r="E290" s="21"/>
      <c r="F290" s="22"/>
      <c r="G290" s="22"/>
      <c r="H290" s="22"/>
      <c r="I290" s="15"/>
      <c r="J290" s="19"/>
      <c r="K290" s="20"/>
      <c r="L290" s="20"/>
      <c r="M290" s="23" t="str">
        <f aca="false">IF($B290="","",$F290*$E290)</f>
        <v/>
      </c>
      <c r="N290" s="23" t="str">
        <f aca="false">IF($B290="","",$M290*(1-설정!$B$7))</f>
        <v/>
      </c>
      <c r="O290" s="23" t="str">
        <f aca="false">IF($B290="","",$N290-($G290*$E290+$H290))</f>
        <v/>
      </c>
      <c r="P290" s="24" t="str">
        <f aca="true">IF($B290="","",IF(AND($I290=설정!$A$11,$A290&lt;&gt;"",TODAY()-$A290&gt;=설정!$B$8),"지연!",""))</f>
        <v/>
      </c>
    </row>
    <row r="291" customFormat="false" ht="15" hidden="false" customHeight="false" outlineLevel="0" collapsed="false">
      <c r="A291" s="19"/>
      <c r="B291" s="20"/>
      <c r="C291" s="5"/>
      <c r="D291" s="5"/>
      <c r="E291" s="21"/>
      <c r="F291" s="22"/>
      <c r="G291" s="22"/>
      <c r="H291" s="22"/>
      <c r="I291" s="15"/>
      <c r="J291" s="19"/>
      <c r="K291" s="20"/>
      <c r="L291" s="20"/>
      <c r="M291" s="23" t="str">
        <f aca="false">IF($B291="","",$F291*$E291)</f>
        <v/>
      </c>
      <c r="N291" s="23" t="str">
        <f aca="false">IF($B291="","",$M291*(1-설정!$B$7))</f>
        <v/>
      </c>
      <c r="O291" s="23" t="str">
        <f aca="false">IF($B291="","",$N291-($G291*$E291+$H291))</f>
        <v/>
      </c>
      <c r="P291" s="24" t="str">
        <f aca="true">IF($B291="","",IF(AND($I291=설정!$A$11,$A291&lt;&gt;"",TODAY()-$A291&gt;=설정!$B$8),"지연!",""))</f>
        <v/>
      </c>
    </row>
    <row r="292" customFormat="false" ht="15" hidden="false" customHeight="false" outlineLevel="0" collapsed="false">
      <c r="A292" s="19"/>
      <c r="B292" s="20"/>
      <c r="C292" s="5"/>
      <c r="D292" s="5"/>
      <c r="E292" s="21"/>
      <c r="F292" s="22"/>
      <c r="G292" s="22"/>
      <c r="H292" s="22"/>
      <c r="I292" s="15"/>
      <c r="J292" s="19"/>
      <c r="K292" s="20"/>
      <c r="L292" s="20"/>
      <c r="M292" s="23" t="str">
        <f aca="false">IF($B292="","",$F292*$E292)</f>
        <v/>
      </c>
      <c r="N292" s="23" t="str">
        <f aca="false">IF($B292="","",$M292*(1-설정!$B$7))</f>
        <v/>
      </c>
      <c r="O292" s="23" t="str">
        <f aca="false">IF($B292="","",$N292-($G292*$E292+$H292))</f>
        <v/>
      </c>
      <c r="P292" s="24" t="str">
        <f aca="true">IF($B292="","",IF(AND($I292=설정!$A$11,$A292&lt;&gt;"",TODAY()-$A292&gt;=설정!$B$8),"지연!",""))</f>
        <v/>
      </c>
    </row>
    <row r="293" customFormat="false" ht="15" hidden="false" customHeight="false" outlineLevel="0" collapsed="false">
      <c r="A293" s="19"/>
      <c r="B293" s="20"/>
      <c r="C293" s="5"/>
      <c r="D293" s="5"/>
      <c r="E293" s="21"/>
      <c r="F293" s="22"/>
      <c r="G293" s="22"/>
      <c r="H293" s="22"/>
      <c r="I293" s="15"/>
      <c r="J293" s="19"/>
      <c r="K293" s="20"/>
      <c r="L293" s="20"/>
      <c r="M293" s="23" t="str">
        <f aca="false">IF($B293="","",$F293*$E293)</f>
        <v/>
      </c>
      <c r="N293" s="23" t="str">
        <f aca="false">IF($B293="","",$M293*(1-설정!$B$7))</f>
        <v/>
      </c>
      <c r="O293" s="23" t="str">
        <f aca="false">IF($B293="","",$N293-($G293*$E293+$H293))</f>
        <v/>
      </c>
      <c r="P293" s="24" t="str">
        <f aca="true">IF($B293="","",IF(AND($I293=설정!$A$11,$A293&lt;&gt;"",TODAY()-$A293&gt;=설정!$B$8),"지연!",""))</f>
        <v/>
      </c>
    </row>
    <row r="294" customFormat="false" ht="15" hidden="false" customHeight="false" outlineLevel="0" collapsed="false">
      <c r="A294" s="19"/>
      <c r="B294" s="20"/>
      <c r="C294" s="5"/>
      <c r="D294" s="5"/>
      <c r="E294" s="21"/>
      <c r="F294" s="22"/>
      <c r="G294" s="22"/>
      <c r="H294" s="22"/>
      <c r="I294" s="15"/>
      <c r="J294" s="19"/>
      <c r="K294" s="20"/>
      <c r="L294" s="20"/>
      <c r="M294" s="23" t="str">
        <f aca="false">IF($B294="","",$F294*$E294)</f>
        <v/>
      </c>
      <c r="N294" s="23" t="str">
        <f aca="false">IF($B294="","",$M294*(1-설정!$B$7))</f>
        <v/>
      </c>
      <c r="O294" s="23" t="str">
        <f aca="false">IF($B294="","",$N294-($G294*$E294+$H294))</f>
        <v/>
      </c>
      <c r="P294" s="24" t="str">
        <f aca="true">IF($B294="","",IF(AND($I294=설정!$A$11,$A294&lt;&gt;"",TODAY()-$A294&gt;=설정!$B$8),"지연!",""))</f>
        <v/>
      </c>
    </row>
    <row r="295" customFormat="false" ht="15" hidden="false" customHeight="false" outlineLevel="0" collapsed="false">
      <c r="A295" s="19"/>
      <c r="B295" s="20"/>
      <c r="C295" s="5"/>
      <c r="D295" s="5"/>
      <c r="E295" s="21"/>
      <c r="F295" s="22"/>
      <c r="G295" s="22"/>
      <c r="H295" s="22"/>
      <c r="I295" s="15"/>
      <c r="J295" s="19"/>
      <c r="K295" s="20"/>
      <c r="L295" s="20"/>
      <c r="M295" s="23" t="str">
        <f aca="false">IF($B295="","",$F295*$E295)</f>
        <v/>
      </c>
      <c r="N295" s="23" t="str">
        <f aca="false">IF($B295="","",$M295*(1-설정!$B$7))</f>
        <v/>
      </c>
      <c r="O295" s="23" t="str">
        <f aca="false">IF($B295="","",$N295-($G295*$E295+$H295))</f>
        <v/>
      </c>
      <c r="P295" s="24" t="str">
        <f aca="true">IF($B295="","",IF(AND($I295=설정!$A$11,$A295&lt;&gt;"",TODAY()-$A295&gt;=설정!$B$8),"지연!",""))</f>
        <v/>
      </c>
    </row>
    <row r="296" customFormat="false" ht="15" hidden="false" customHeight="false" outlineLevel="0" collapsed="false">
      <c r="A296" s="19"/>
      <c r="B296" s="20"/>
      <c r="C296" s="5"/>
      <c r="D296" s="5"/>
      <c r="E296" s="21"/>
      <c r="F296" s="22"/>
      <c r="G296" s="22"/>
      <c r="H296" s="22"/>
      <c r="I296" s="15"/>
      <c r="J296" s="19"/>
      <c r="K296" s="20"/>
      <c r="L296" s="20"/>
      <c r="M296" s="23" t="str">
        <f aca="false">IF($B296="","",$F296*$E296)</f>
        <v/>
      </c>
      <c r="N296" s="23" t="str">
        <f aca="false">IF($B296="","",$M296*(1-설정!$B$7))</f>
        <v/>
      </c>
      <c r="O296" s="23" t="str">
        <f aca="false">IF($B296="","",$N296-($G296*$E296+$H296))</f>
        <v/>
      </c>
      <c r="P296" s="24" t="str">
        <f aca="true">IF($B296="","",IF(AND($I296=설정!$A$11,$A296&lt;&gt;"",TODAY()-$A296&gt;=설정!$B$8),"지연!",""))</f>
        <v/>
      </c>
    </row>
    <row r="297" customFormat="false" ht="15" hidden="false" customHeight="false" outlineLevel="0" collapsed="false">
      <c r="A297" s="19"/>
      <c r="B297" s="20"/>
      <c r="C297" s="5"/>
      <c r="D297" s="5"/>
      <c r="E297" s="21"/>
      <c r="F297" s="22"/>
      <c r="G297" s="22"/>
      <c r="H297" s="22"/>
      <c r="I297" s="15"/>
      <c r="J297" s="19"/>
      <c r="K297" s="20"/>
      <c r="L297" s="20"/>
      <c r="M297" s="23" t="str">
        <f aca="false">IF($B297="","",$F297*$E297)</f>
        <v/>
      </c>
      <c r="N297" s="23" t="str">
        <f aca="false">IF($B297="","",$M297*(1-설정!$B$7))</f>
        <v/>
      </c>
      <c r="O297" s="23" t="str">
        <f aca="false">IF($B297="","",$N297-($G297*$E297+$H297))</f>
        <v/>
      </c>
      <c r="P297" s="24" t="str">
        <f aca="true">IF($B297="","",IF(AND($I297=설정!$A$11,$A297&lt;&gt;"",TODAY()-$A297&gt;=설정!$B$8),"지연!",""))</f>
        <v/>
      </c>
    </row>
    <row r="298" customFormat="false" ht="15" hidden="false" customHeight="false" outlineLevel="0" collapsed="false">
      <c r="A298" s="19"/>
      <c r="B298" s="20"/>
      <c r="C298" s="5"/>
      <c r="D298" s="5"/>
      <c r="E298" s="21"/>
      <c r="F298" s="22"/>
      <c r="G298" s="22"/>
      <c r="H298" s="22"/>
      <c r="I298" s="15"/>
      <c r="J298" s="19"/>
      <c r="K298" s="20"/>
      <c r="L298" s="20"/>
      <c r="M298" s="23" t="str">
        <f aca="false">IF($B298="","",$F298*$E298)</f>
        <v/>
      </c>
      <c r="N298" s="23" t="str">
        <f aca="false">IF($B298="","",$M298*(1-설정!$B$7))</f>
        <v/>
      </c>
      <c r="O298" s="23" t="str">
        <f aca="false">IF($B298="","",$N298-($G298*$E298+$H298))</f>
        <v/>
      </c>
      <c r="P298" s="24" t="str">
        <f aca="true">IF($B298="","",IF(AND($I298=설정!$A$11,$A298&lt;&gt;"",TODAY()-$A298&gt;=설정!$B$8),"지연!",""))</f>
        <v/>
      </c>
    </row>
    <row r="299" customFormat="false" ht="15" hidden="false" customHeight="false" outlineLevel="0" collapsed="false">
      <c r="A299" s="19"/>
      <c r="B299" s="20"/>
      <c r="C299" s="5"/>
      <c r="D299" s="5"/>
      <c r="E299" s="21"/>
      <c r="F299" s="22"/>
      <c r="G299" s="22"/>
      <c r="H299" s="22"/>
      <c r="I299" s="15"/>
      <c r="J299" s="19"/>
      <c r="K299" s="20"/>
      <c r="L299" s="20"/>
      <c r="M299" s="23" t="str">
        <f aca="false">IF($B299="","",$F299*$E299)</f>
        <v/>
      </c>
      <c r="N299" s="23" t="str">
        <f aca="false">IF($B299="","",$M299*(1-설정!$B$7))</f>
        <v/>
      </c>
      <c r="O299" s="23" t="str">
        <f aca="false">IF($B299="","",$N299-($G299*$E299+$H299))</f>
        <v/>
      </c>
      <c r="P299" s="24" t="str">
        <f aca="true">IF($B299="","",IF(AND($I299=설정!$A$11,$A299&lt;&gt;"",TODAY()-$A299&gt;=설정!$B$8),"지연!",""))</f>
        <v/>
      </c>
    </row>
    <row r="300" customFormat="false" ht="15" hidden="false" customHeight="false" outlineLevel="0" collapsed="false">
      <c r="A300" s="19"/>
      <c r="B300" s="20"/>
      <c r="C300" s="5"/>
      <c r="D300" s="5"/>
      <c r="E300" s="21"/>
      <c r="F300" s="22"/>
      <c r="G300" s="22"/>
      <c r="H300" s="22"/>
      <c r="I300" s="15"/>
      <c r="J300" s="19"/>
      <c r="K300" s="20"/>
      <c r="L300" s="20"/>
      <c r="M300" s="23" t="str">
        <f aca="false">IF($B300="","",$F300*$E300)</f>
        <v/>
      </c>
      <c r="N300" s="23" t="str">
        <f aca="false">IF($B300="","",$M300*(1-설정!$B$7))</f>
        <v/>
      </c>
      <c r="O300" s="23" t="str">
        <f aca="false">IF($B300="","",$N300-($G300*$E300+$H300))</f>
        <v/>
      </c>
      <c r="P300" s="24" t="str">
        <f aca="true">IF($B300="","",IF(AND($I300=설정!$A$11,$A300&lt;&gt;"",TODAY()-$A300&gt;=설정!$B$8),"지연!",""))</f>
        <v/>
      </c>
    </row>
    <row r="301" customFormat="false" ht="15" hidden="false" customHeight="false" outlineLevel="0" collapsed="false">
      <c r="A301" s="19"/>
      <c r="B301" s="20"/>
      <c r="C301" s="5"/>
      <c r="D301" s="5"/>
      <c r="E301" s="21"/>
      <c r="F301" s="22"/>
      <c r="G301" s="22"/>
      <c r="H301" s="22"/>
      <c r="I301" s="15"/>
      <c r="J301" s="19"/>
      <c r="K301" s="20"/>
      <c r="L301" s="20"/>
      <c r="M301" s="23" t="str">
        <f aca="false">IF($B301="","",$F301*$E301)</f>
        <v/>
      </c>
      <c r="N301" s="23" t="str">
        <f aca="false">IF($B301="","",$M301*(1-설정!$B$7))</f>
        <v/>
      </c>
      <c r="O301" s="23" t="str">
        <f aca="false">IF($B301="","",$N301-($G301*$E301+$H301))</f>
        <v/>
      </c>
      <c r="P301" s="24" t="str">
        <f aca="true">IF($B301="","",IF(AND($I301=설정!$A$11,$A301&lt;&gt;"",TODAY()-$A301&gt;=설정!$B$8),"지연!",""))</f>
        <v/>
      </c>
    </row>
    <row r="302" customFormat="false" ht="15" hidden="false" customHeight="false" outlineLevel="0" collapsed="false">
      <c r="A302" s="19"/>
      <c r="B302" s="20"/>
      <c r="C302" s="5"/>
      <c r="D302" s="5"/>
      <c r="E302" s="21"/>
      <c r="F302" s="22"/>
      <c r="G302" s="22"/>
      <c r="H302" s="22"/>
      <c r="I302" s="15"/>
      <c r="J302" s="19"/>
      <c r="K302" s="20"/>
      <c r="L302" s="20"/>
      <c r="M302" s="23" t="str">
        <f aca="false">IF($B302="","",$F302*$E302)</f>
        <v/>
      </c>
      <c r="N302" s="23" t="str">
        <f aca="false">IF($B302="","",$M302*(1-설정!$B$7))</f>
        <v/>
      </c>
      <c r="O302" s="23" t="str">
        <f aca="false">IF($B302="","",$N302-($G302*$E302+$H302))</f>
        <v/>
      </c>
      <c r="P302" s="24" t="str">
        <f aca="true">IF($B302="","",IF(AND($I302=설정!$A$11,$A302&lt;&gt;"",TODAY()-$A302&gt;=설정!$B$8),"지연!",""))</f>
        <v/>
      </c>
    </row>
    <row r="303" customFormat="false" ht="15" hidden="false" customHeight="false" outlineLevel="0" collapsed="false">
      <c r="A303" s="19"/>
      <c r="B303" s="20"/>
      <c r="C303" s="5"/>
      <c r="D303" s="5"/>
      <c r="E303" s="21"/>
      <c r="F303" s="22"/>
      <c r="G303" s="22"/>
      <c r="H303" s="22"/>
      <c r="I303" s="15"/>
      <c r="J303" s="19"/>
      <c r="K303" s="20"/>
      <c r="L303" s="20"/>
      <c r="M303" s="23" t="str">
        <f aca="false">IF($B303="","",$F303*$E303)</f>
        <v/>
      </c>
      <c r="N303" s="23" t="str">
        <f aca="false">IF($B303="","",$M303*(1-설정!$B$7))</f>
        <v/>
      </c>
      <c r="O303" s="23" t="str">
        <f aca="false">IF($B303="","",$N303-($G303*$E303+$H303))</f>
        <v/>
      </c>
      <c r="P303" s="24" t="str">
        <f aca="true">IF($B303="","",IF(AND($I303=설정!$A$11,$A303&lt;&gt;"",TODAY()-$A303&gt;=설정!$B$8),"지연!",""))</f>
        <v/>
      </c>
    </row>
    <row r="304" customFormat="false" ht="15" hidden="false" customHeight="false" outlineLevel="0" collapsed="false">
      <c r="A304" s="19"/>
      <c r="B304" s="20"/>
      <c r="C304" s="5"/>
      <c r="D304" s="5"/>
      <c r="E304" s="21"/>
      <c r="F304" s="22"/>
      <c r="G304" s="22"/>
      <c r="H304" s="22"/>
      <c r="I304" s="15"/>
      <c r="J304" s="19"/>
      <c r="K304" s="20"/>
      <c r="L304" s="20"/>
      <c r="M304" s="23" t="str">
        <f aca="false">IF($B304="","",$F304*$E304)</f>
        <v/>
      </c>
      <c r="N304" s="23" t="str">
        <f aca="false">IF($B304="","",$M304*(1-설정!$B$7))</f>
        <v/>
      </c>
      <c r="O304" s="23" t="str">
        <f aca="false">IF($B304="","",$N304-($G304*$E304+$H304))</f>
        <v/>
      </c>
      <c r="P304" s="24" t="str">
        <f aca="true">IF($B304="","",IF(AND($I304=설정!$A$11,$A304&lt;&gt;"",TODAY()-$A304&gt;=설정!$B$8),"지연!",""))</f>
        <v/>
      </c>
    </row>
    <row r="305" customFormat="false" ht="15" hidden="false" customHeight="false" outlineLevel="0" collapsed="false">
      <c r="A305" s="19"/>
      <c r="B305" s="20"/>
      <c r="C305" s="5"/>
      <c r="D305" s="5"/>
      <c r="E305" s="21"/>
      <c r="F305" s="22"/>
      <c r="G305" s="22"/>
      <c r="H305" s="22"/>
      <c r="I305" s="15"/>
      <c r="J305" s="19"/>
      <c r="K305" s="20"/>
      <c r="L305" s="20"/>
      <c r="M305" s="23" t="str">
        <f aca="false">IF($B305="","",$F305*$E305)</f>
        <v/>
      </c>
      <c r="N305" s="23" t="str">
        <f aca="false">IF($B305="","",$M305*(1-설정!$B$7))</f>
        <v/>
      </c>
      <c r="O305" s="23" t="str">
        <f aca="false">IF($B305="","",$N305-($G305*$E305+$H305))</f>
        <v/>
      </c>
      <c r="P305" s="24" t="str">
        <f aca="true">IF($B305="","",IF(AND($I305=설정!$A$11,$A305&lt;&gt;"",TODAY()-$A305&gt;=설정!$B$8),"지연!",""))</f>
        <v/>
      </c>
    </row>
    <row r="306" customFormat="false" ht="15" hidden="false" customHeight="false" outlineLevel="0" collapsed="false">
      <c r="A306" s="19"/>
      <c r="B306" s="20"/>
      <c r="C306" s="5"/>
      <c r="D306" s="5"/>
      <c r="E306" s="21"/>
      <c r="F306" s="22"/>
      <c r="G306" s="22"/>
      <c r="H306" s="22"/>
      <c r="I306" s="15"/>
      <c r="J306" s="19"/>
      <c r="K306" s="20"/>
      <c r="L306" s="20"/>
      <c r="M306" s="23" t="str">
        <f aca="false">IF($B306="","",$F306*$E306)</f>
        <v/>
      </c>
      <c r="N306" s="23" t="str">
        <f aca="false">IF($B306="","",$M306*(1-설정!$B$7))</f>
        <v/>
      </c>
      <c r="O306" s="23" t="str">
        <f aca="false">IF($B306="","",$N306-($G306*$E306+$H306))</f>
        <v/>
      </c>
      <c r="P306" s="24" t="str">
        <f aca="true">IF($B306="","",IF(AND($I306=설정!$A$11,$A306&lt;&gt;"",TODAY()-$A306&gt;=설정!$B$8),"지연!",""))</f>
        <v/>
      </c>
    </row>
    <row r="307" customFormat="false" ht="15" hidden="false" customHeight="false" outlineLevel="0" collapsed="false">
      <c r="A307" s="19"/>
      <c r="B307" s="20"/>
      <c r="C307" s="5"/>
      <c r="D307" s="5"/>
      <c r="E307" s="21"/>
      <c r="F307" s="22"/>
      <c r="G307" s="22"/>
      <c r="H307" s="22"/>
      <c r="I307" s="15"/>
      <c r="J307" s="19"/>
      <c r="K307" s="20"/>
      <c r="L307" s="20"/>
      <c r="M307" s="23" t="str">
        <f aca="false">IF($B307="","",$F307*$E307)</f>
        <v/>
      </c>
      <c r="N307" s="23" t="str">
        <f aca="false">IF($B307="","",$M307*(1-설정!$B$7))</f>
        <v/>
      </c>
      <c r="O307" s="23" t="str">
        <f aca="false">IF($B307="","",$N307-($G307*$E307+$H307))</f>
        <v/>
      </c>
      <c r="P307" s="24" t="str">
        <f aca="true">IF($B307="","",IF(AND($I307=설정!$A$11,$A307&lt;&gt;"",TODAY()-$A307&gt;=설정!$B$8),"지연!",""))</f>
        <v/>
      </c>
    </row>
    <row r="308" customFormat="false" ht="15" hidden="false" customHeight="false" outlineLevel="0" collapsed="false">
      <c r="A308" s="19"/>
      <c r="B308" s="20"/>
      <c r="C308" s="5"/>
      <c r="D308" s="5"/>
      <c r="E308" s="21"/>
      <c r="F308" s="22"/>
      <c r="G308" s="22"/>
      <c r="H308" s="22"/>
      <c r="I308" s="15"/>
      <c r="J308" s="19"/>
      <c r="K308" s="20"/>
      <c r="L308" s="20"/>
      <c r="M308" s="23" t="str">
        <f aca="false">IF($B308="","",$F308*$E308)</f>
        <v/>
      </c>
      <c r="N308" s="23" t="str">
        <f aca="false">IF($B308="","",$M308*(1-설정!$B$7))</f>
        <v/>
      </c>
      <c r="O308" s="23" t="str">
        <f aca="false">IF($B308="","",$N308-($G308*$E308+$H308))</f>
        <v/>
      </c>
      <c r="P308" s="24" t="str">
        <f aca="true">IF($B308="","",IF(AND($I308=설정!$A$11,$A308&lt;&gt;"",TODAY()-$A308&gt;=설정!$B$8),"지연!",""))</f>
        <v/>
      </c>
    </row>
    <row r="309" customFormat="false" ht="15" hidden="false" customHeight="false" outlineLevel="0" collapsed="false">
      <c r="A309" s="19"/>
      <c r="B309" s="20"/>
      <c r="C309" s="5"/>
      <c r="D309" s="5"/>
      <c r="E309" s="21"/>
      <c r="F309" s="22"/>
      <c r="G309" s="22"/>
      <c r="H309" s="22"/>
      <c r="I309" s="15"/>
      <c r="J309" s="19"/>
      <c r="K309" s="20"/>
      <c r="L309" s="20"/>
      <c r="M309" s="23" t="str">
        <f aca="false">IF($B309="","",$F309*$E309)</f>
        <v/>
      </c>
      <c r="N309" s="23" t="str">
        <f aca="false">IF($B309="","",$M309*(1-설정!$B$7))</f>
        <v/>
      </c>
      <c r="O309" s="23" t="str">
        <f aca="false">IF($B309="","",$N309-($G309*$E309+$H309))</f>
        <v/>
      </c>
      <c r="P309" s="24" t="str">
        <f aca="true">IF($B309="","",IF(AND($I309=설정!$A$11,$A309&lt;&gt;"",TODAY()-$A309&gt;=설정!$B$8),"지연!",""))</f>
        <v/>
      </c>
    </row>
    <row r="310" customFormat="false" ht="15" hidden="false" customHeight="false" outlineLevel="0" collapsed="false">
      <c r="A310" s="19"/>
      <c r="B310" s="20"/>
      <c r="C310" s="5"/>
      <c r="D310" s="5"/>
      <c r="E310" s="21"/>
      <c r="F310" s="22"/>
      <c r="G310" s="22"/>
      <c r="H310" s="22"/>
      <c r="I310" s="15"/>
      <c r="J310" s="19"/>
      <c r="K310" s="20"/>
      <c r="L310" s="20"/>
      <c r="M310" s="23" t="str">
        <f aca="false">IF($B310="","",$F310*$E310)</f>
        <v/>
      </c>
      <c r="N310" s="23" t="str">
        <f aca="false">IF($B310="","",$M310*(1-설정!$B$7))</f>
        <v/>
      </c>
      <c r="O310" s="23" t="str">
        <f aca="false">IF($B310="","",$N310-($G310*$E310+$H310))</f>
        <v/>
      </c>
      <c r="P310" s="24" t="str">
        <f aca="true">IF($B310="","",IF(AND($I310=설정!$A$11,$A310&lt;&gt;"",TODAY()-$A310&gt;=설정!$B$8),"지연!",""))</f>
        <v/>
      </c>
    </row>
    <row r="311" customFormat="false" ht="15" hidden="false" customHeight="false" outlineLevel="0" collapsed="false">
      <c r="A311" s="19"/>
      <c r="B311" s="20"/>
      <c r="C311" s="5"/>
      <c r="D311" s="5"/>
      <c r="E311" s="21"/>
      <c r="F311" s="22"/>
      <c r="G311" s="22"/>
      <c r="H311" s="22"/>
      <c r="I311" s="15"/>
      <c r="J311" s="19"/>
      <c r="K311" s="20"/>
      <c r="L311" s="20"/>
      <c r="M311" s="23" t="str">
        <f aca="false">IF($B311="","",$F311*$E311)</f>
        <v/>
      </c>
      <c r="N311" s="23" t="str">
        <f aca="false">IF($B311="","",$M311*(1-설정!$B$7))</f>
        <v/>
      </c>
      <c r="O311" s="23" t="str">
        <f aca="false">IF($B311="","",$N311-($G311*$E311+$H311))</f>
        <v/>
      </c>
      <c r="P311" s="24" t="str">
        <f aca="true">IF($B311="","",IF(AND($I311=설정!$A$11,$A311&lt;&gt;"",TODAY()-$A311&gt;=설정!$B$8),"지연!",""))</f>
        <v/>
      </c>
    </row>
    <row r="312" customFormat="false" ht="15" hidden="false" customHeight="false" outlineLevel="0" collapsed="false">
      <c r="A312" s="19"/>
      <c r="B312" s="20"/>
      <c r="C312" s="5"/>
      <c r="D312" s="5"/>
      <c r="E312" s="21"/>
      <c r="F312" s="22"/>
      <c r="G312" s="22"/>
      <c r="H312" s="22"/>
      <c r="I312" s="15"/>
      <c r="J312" s="19"/>
      <c r="K312" s="20"/>
      <c r="L312" s="20"/>
      <c r="M312" s="23" t="str">
        <f aca="false">IF($B312="","",$F312*$E312)</f>
        <v/>
      </c>
      <c r="N312" s="23" t="str">
        <f aca="false">IF($B312="","",$M312*(1-설정!$B$7))</f>
        <v/>
      </c>
      <c r="O312" s="23" t="str">
        <f aca="false">IF($B312="","",$N312-($G312*$E312+$H312))</f>
        <v/>
      </c>
      <c r="P312" s="24" t="str">
        <f aca="true">IF($B312="","",IF(AND($I312=설정!$A$11,$A312&lt;&gt;"",TODAY()-$A312&gt;=설정!$B$8),"지연!",""))</f>
        <v/>
      </c>
    </row>
    <row r="313" customFormat="false" ht="15" hidden="false" customHeight="false" outlineLevel="0" collapsed="false">
      <c r="A313" s="19"/>
      <c r="B313" s="20"/>
      <c r="C313" s="5"/>
      <c r="D313" s="5"/>
      <c r="E313" s="21"/>
      <c r="F313" s="22"/>
      <c r="G313" s="22"/>
      <c r="H313" s="22"/>
      <c r="I313" s="15"/>
      <c r="J313" s="19"/>
      <c r="K313" s="20"/>
      <c r="L313" s="20"/>
      <c r="M313" s="23" t="str">
        <f aca="false">IF($B313="","",$F313*$E313)</f>
        <v/>
      </c>
      <c r="N313" s="23" t="str">
        <f aca="false">IF($B313="","",$M313*(1-설정!$B$7))</f>
        <v/>
      </c>
      <c r="O313" s="23" t="str">
        <f aca="false">IF($B313="","",$N313-($G313*$E313+$H313))</f>
        <v/>
      </c>
      <c r="P313" s="24" t="str">
        <f aca="true">IF($B313="","",IF(AND($I313=설정!$A$11,$A313&lt;&gt;"",TODAY()-$A313&gt;=설정!$B$8),"지연!",""))</f>
        <v/>
      </c>
    </row>
    <row r="314" customFormat="false" ht="15" hidden="false" customHeight="false" outlineLevel="0" collapsed="false">
      <c r="A314" s="19"/>
      <c r="B314" s="20"/>
      <c r="C314" s="5"/>
      <c r="D314" s="5"/>
      <c r="E314" s="21"/>
      <c r="F314" s="22"/>
      <c r="G314" s="22"/>
      <c r="H314" s="22"/>
      <c r="I314" s="15"/>
      <c r="J314" s="19"/>
      <c r="K314" s="20"/>
      <c r="L314" s="20"/>
      <c r="M314" s="23" t="str">
        <f aca="false">IF($B314="","",$F314*$E314)</f>
        <v/>
      </c>
      <c r="N314" s="23" t="str">
        <f aca="false">IF($B314="","",$M314*(1-설정!$B$7))</f>
        <v/>
      </c>
      <c r="O314" s="23" t="str">
        <f aca="false">IF($B314="","",$N314-($G314*$E314+$H314))</f>
        <v/>
      </c>
      <c r="P314" s="24" t="str">
        <f aca="true">IF($B314="","",IF(AND($I314=설정!$A$11,$A314&lt;&gt;"",TODAY()-$A314&gt;=설정!$B$8),"지연!",""))</f>
        <v/>
      </c>
    </row>
    <row r="315" customFormat="false" ht="15" hidden="false" customHeight="false" outlineLevel="0" collapsed="false">
      <c r="A315" s="19"/>
      <c r="B315" s="20"/>
      <c r="C315" s="5"/>
      <c r="D315" s="5"/>
      <c r="E315" s="21"/>
      <c r="F315" s="22"/>
      <c r="G315" s="22"/>
      <c r="H315" s="22"/>
      <c r="I315" s="15"/>
      <c r="J315" s="19"/>
      <c r="K315" s="20"/>
      <c r="L315" s="20"/>
      <c r="M315" s="23" t="str">
        <f aca="false">IF($B315="","",$F315*$E315)</f>
        <v/>
      </c>
      <c r="N315" s="23" t="str">
        <f aca="false">IF($B315="","",$M315*(1-설정!$B$7))</f>
        <v/>
      </c>
      <c r="O315" s="23" t="str">
        <f aca="false">IF($B315="","",$N315-($G315*$E315+$H315))</f>
        <v/>
      </c>
      <c r="P315" s="24" t="str">
        <f aca="true">IF($B315="","",IF(AND($I315=설정!$A$11,$A315&lt;&gt;"",TODAY()-$A315&gt;=설정!$B$8),"지연!",""))</f>
        <v/>
      </c>
    </row>
    <row r="316" customFormat="false" ht="15" hidden="false" customHeight="false" outlineLevel="0" collapsed="false">
      <c r="A316" s="19"/>
      <c r="B316" s="20"/>
      <c r="C316" s="5"/>
      <c r="D316" s="5"/>
      <c r="E316" s="21"/>
      <c r="F316" s="22"/>
      <c r="G316" s="22"/>
      <c r="H316" s="22"/>
      <c r="I316" s="15"/>
      <c r="J316" s="19"/>
      <c r="K316" s="20"/>
      <c r="L316" s="20"/>
      <c r="M316" s="23" t="str">
        <f aca="false">IF($B316="","",$F316*$E316)</f>
        <v/>
      </c>
      <c r="N316" s="23" t="str">
        <f aca="false">IF($B316="","",$M316*(1-설정!$B$7))</f>
        <v/>
      </c>
      <c r="O316" s="23" t="str">
        <f aca="false">IF($B316="","",$N316-($G316*$E316+$H316))</f>
        <v/>
      </c>
      <c r="P316" s="24" t="str">
        <f aca="true">IF($B316="","",IF(AND($I316=설정!$A$11,$A316&lt;&gt;"",TODAY()-$A316&gt;=설정!$B$8),"지연!",""))</f>
        <v/>
      </c>
    </row>
    <row r="317" customFormat="false" ht="15" hidden="false" customHeight="false" outlineLevel="0" collapsed="false">
      <c r="A317" s="19"/>
      <c r="B317" s="20"/>
      <c r="C317" s="5"/>
      <c r="D317" s="5"/>
      <c r="E317" s="21"/>
      <c r="F317" s="22"/>
      <c r="G317" s="22"/>
      <c r="H317" s="22"/>
      <c r="I317" s="15"/>
      <c r="J317" s="19"/>
      <c r="K317" s="20"/>
      <c r="L317" s="20"/>
      <c r="M317" s="23" t="str">
        <f aca="false">IF($B317="","",$F317*$E317)</f>
        <v/>
      </c>
      <c r="N317" s="23" t="str">
        <f aca="false">IF($B317="","",$M317*(1-설정!$B$7))</f>
        <v/>
      </c>
      <c r="O317" s="23" t="str">
        <f aca="false">IF($B317="","",$N317-($G317*$E317+$H317))</f>
        <v/>
      </c>
      <c r="P317" s="24" t="str">
        <f aca="true">IF($B317="","",IF(AND($I317=설정!$A$11,$A317&lt;&gt;"",TODAY()-$A317&gt;=설정!$B$8),"지연!",""))</f>
        <v/>
      </c>
    </row>
    <row r="318" customFormat="false" ht="15" hidden="false" customHeight="false" outlineLevel="0" collapsed="false">
      <c r="A318" s="19"/>
      <c r="B318" s="20"/>
      <c r="C318" s="5"/>
      <c r="D318" s="5"/>
      <c r="E318" s="21"/>
      <c r="F318" s="22"/>
      <c r="G318" s="22"/>
      <c r="H318" s="22"/>
      <c r="I318" s="15"/>
      <c r="J318" s="19"/>
      <c r="K318" s="20"/>
      <c r="L318" s="20"/>
      <c r="M318" s="23" t="str">
        <f aca="false">IF($B318="","",$F318*$E318)</f>
        <v/>
      </c>
      <c r="N318" s="23" t="str">
        <f aca="false">IF($B318="","",$M318*(1-설정!$B$7))</f>
        <v/>
      </c>
      <c r="O318" s="23" t="str">
        <f aca="false">IF($B318="","",$N318-($G318*$E318+$H318))</f>
        <v/>
      </c>
      <c r="P318" s="24" t="str">
        <f aca="true">IF($B318="","",IF(AND($I318=설정!$A$11,$A318&lt;&gt;"",TODAY()-$A318&gt;=설정!$B$8),"지연!",""))</f>
        <v/>
      </c>
    </row>
    <row r="319" customFormat="false" ht="15" hidden="false" customHeight="false" outlineLevel="0" collapsed="false">
      <c r="A319" s="19"/>
      <c r="B319" s="20"/>
      <c r="C319" s="5"/>
      <c r="D319" s="5"/>
      <c r="E319" s="21"/>
      <c r="F319" s="22"/>
      <c r="G319" s="22"/>
      <c r="H319" s="22"/>
      <c r="I319" s="15"/>
      <c r="J319" s="19"/>
      <c r="K319" s="20"/>
      <c r="L319" s="20"/>
      <c r="M319" s="23" t="str">
        <f aca="false">IF($B319="","",$F319*$E319)</f>
        <v/>
      </c>
      <c r="N319" s="23" t="str">
        <f aca="false">IF($B319="","",$M319*(1-설정!$B$7))</f>
        <v/>
      </c>
      <c r="O319" s="23" t="str">
        <f aca="false">IF($B319="","",$N319-($G319*$E319+$H319))</f>
        <v/>
      </c>
      <c r="P319" s="24" t="str">
        <f aca="true">IF($B319="","",IF(AND($I319=설정!$A$11,$A319&lt;&gt;"",TODAY()-$A319&gt;=설정!$B$8),"지연!",""))</f>
        <v/>
      </c>
    </row>
    <row r="320" customFormat="false" ht="15" hidden="false" customHeight="false" outlineLevel="0" collapsed="false">
      <c r="A320" s="19"/>
      <c r="B320" s="20"/>
      <c r="C320" s="5"/>
      <c r="D320" s="5"/>
      <c r="E320" s="21"/>
      <c r="F320" s="22"/>
      <c r="G320" s="22"/>
      <c r="H320" s="22"/>
      <c r="I320" s="15"/>
      <c r="J320" s="19"/>
      <c r="K320" s="20"/>
      <c r="L320" s="20"/>
      <c r="M320" s="23" t="str">
        <f aca="false">IF($B320="","",$F320*$E320)</f>
        <v/>
      </c>
      <c r="N320" s="23" t="str">
        <f aca="false">IF($B320="","",$M320*(1-설정!$B$7))</f>
        <v/>
      </c>
      <c r="O320" s="23" t="str">
        <f aca="false">IF($B320="","",$N320-($G320*$E320+$H320))</f>
        <v/>
      </c>
      <c r="P320" s="24" t="str">
        <f aca="true">IF($B320="","",IF(AND($I320=설정!$A$11,$A320&lt;&gt;"",TODAY()-$A320&gt;=설정!$B$8),"지연!",""))</f>
        <v/>
      </c>
    </row>
    <row r="321" customFormat="false" ht="15" hidden="false" customHeight="false" outlineLevel="0" collapsed="false">
      <c r="A321" s="19"/>
      <c r="B321" s="20"/>
      <c r="C321" s="5"/>
      <c r="D321" s="5"/>
      <c r="E321" s="21"/>
      <c r="F321" s="22"/>
      <c r="G321" s="22"/>
      <c r="H321" s="22"/>
      <c r="I321" s="15"/>
      <c r="J321" s="19"/>
      <c r="K321" s="20"/>
      <c r="L321" s="20"/>
      <c r="M321" s="23" t="str">
        <f aca="false">IF($B321="","",$F321*$E321)</f>
        <v/>
      </c>
      <c r="N321" s="23" t="str">
        <f aca="false">IF($B321="","",$M321*(1-설정!$B$7))</f>
        <v/>
      </c>
      <c r="O321" s="23" t="str">
        <f aca="false">IF($B321="","",$N321-($G321*$E321+$H321))</f>
        <v/>
      </c>
      <c r="P321" s="24" t="str">
        <f aca="true">IF($B321="","",IF(AND($I321=설정!$A$11,$A321&lt;&gt;"",TODAY()-$A321&gt;=설정!$B$8),"지연!",""))</f>
        <v/>
      </c>
    </row>
    <row r="322" customFormat="false" ht="15" hidden="false" customHeight="false" outlineLevel="0" collapsed="false">
      <c r="A322" s="19"/>
      <c r="B322" s="20"/>
      <c r="C322" s="5"/>
      <c r="D322" s="5"/>
      <c r="E322" s="21"/>
      <c r="F322" s="22"/>
      <c r="G322" s="22"/>
      <c r="H322" s="22"/>
      <c r="I322" s="15"/>
      <c r="J322" s="19"/>
      <c r="K322" s="20"/>
      <c r="L322" s="20"/>
      <c r="M322" s="23" t="str">
        <f aca="false">IF($B322="","",$F322*$E322)</f>
        <v/>
      </c>
      <c r="N322" s="23" t="str">
        <f aca="false">IF($B322="","",$M322*(1-설정!$B$7))</f>
        <v/>
      </c>
      <c r="O322" s="23" t="str">
        <f aca="false">IF($B322="","",$N322-($G322*$E322+$H322))</f>
        <v/>
      </c>
      <c r="P322" s="24" t="str">
        <f aca="true">IF($B322="","",IF(AND($I322=설정!$A$11,$A322&lt;&gt;"",TODAY()-$A322&gt;=설정!$B$8),"지연!",""))</f>
        <v/>
      </c>
    </row>
    <row r="323" customFormat="false" ht="15" hidden="false" customHeight="false" outlineLevel="0" collapsed="false">
      <c r="A323" s="19"/>
      <c r="B323" s="20"/>
      <c r="C323" s="5"/>
      <c r="D323" s="5"/>
      <c r="E323" s="21"/>
      <c r="F323" s="22"/>
      <c r="G323" s="22"/>
      <c r="H323" s="22"/>
      <c r="I323" s="15"/>
      <c r="J323" s="19"/>
      <c r="K323" s="20"/>
      <c r="L323" s="20"/>
      <c r="M323" s="23" t="str">
        <f aca="false">IF($B323="","",$F323*$E323)</f>
        <v/>
      </c>
      <c r="N323" s="23" t="str">
        <f aca="false">IF($B323="","",$M323*(1-설정!$B$7))</f>
        <v/>
      </c>
      <c r="O323" s="23" t="str">
        <f aca="false">IF($B323="","",$N323-($G323*$E323+$H323))</f>
        <v/>
      </c>
      <c r="P323" s="24" t="str">
        <f aca="true">IF($B323="","",IF(AND($I323=설정!$A$11,$A323&lt;&gt;"",TODAY()-$A323&gt;=설정!$B$8),"지연!",""))</f>
        <v/>
      </c>
    </row>
    <row r="324" customFormat="false" ht="15" hidden="false" customHeight="false" outlineLevel="0" collapsed="false">
      <c r="A324" s="19"/>
      <c r="B324" s="20"/>
      <c r="C324" s="5"/>
      <c r="D324" s="5"/>
      <c r="E324" s="21"/>
      <c r="F324" s="22"/>
      <c r="G324" s="22"/>
      <c r="H324" s="22"/>
      <c r="I324" s="15"/>
      <c r="J324" s="19"/>
      <c r="K324" s="20"/>
      <c r="L324" s="20"/>
      <c r="M324" s="23" t="str">
        <f aca="false">IF($B324="","",$F324*$E324)</f>
        <v/>
      </c>
      <c r="N324" s="23" t="str">
        <f aca="false">IF($B324="","",$M324*(1-설정!$B$7))</f>
        <v/>
      </c>
      <c r="O324" s="23" t="str">
        <f aca="false">IF($B324="","",$N324-($G324*$E324+$H324))</f>
        <v/>
      </c>
      <c r="P324" s="24" t="str">
        <f aca="true">IF($B324="","",IF(AND($I324=설정!$A$11,$A324&lt;&gt;"",TODAY()-$A324&gt;=설정!$B$8),"지연!",""))</f>
        <v/>
      </c>
    </row>
    <row r="325" customFormat="false" ht="15" hidden="false" customHeight="false" outlineLevel="0" collapsed="false">
      <c r="A325" s="19"/>
      <c r="B325" s="20"/>
      <c r="C325" s="5"/>
      <c r="D325" s="5"/>
      <c r="E325" s="21"/>
      <c r="F325" s="22"/>
      <c r="G325" s="22"/>
      <c r="H325" s="22"/>
      <c r="I325" s="15"/>
      <c r="J325" s="19"/>
      <c r="K325" s="20"/>
      <c r="L325" s="20"/>
      <c r="M325" s="23" t="str">
        <f aca="false">IF($B325="","",$F325*$E325)</f>
        <v/>
      </c>
      <c r="N325" s="23" t="str">
        <f aca="false">IF($B325="","",$M325*(1-설정!$B$7))</f>
        <v/>
      </c>
      <c r="O325" s="23" t="str">
        <f aca="false">IF($B325="","",$N325-($G325*$E325+$H325))</f>
        <v/>
      </c>
      <c r="P325" s="24" t="str">
        <f aca="true">IF($B325="","",IF(AND($I325=설정!$A$11,$A325&lt;&gt;"",TODAY()-$A325&gt;=설정!$B$8),"지연!",""))</f>
        <v/>
      </c>
    </row>
    <row r="326" customFormat="false" ht="15" hidden="false" customHeight="false" outlineLevel="0" collapsed="false">
      <c r="A326" s="19"/>
      <c r="B326" s="20"/>
      <c r="C326" s="5"/>
      <c r="D326" s="5"/>
      <c r="E326" s="21"/>
      <c r="F326" s="22"/>
      <c r="G326" s="22"/>
      <c r="H326" s="22"/>
      <c r="I326" s="15"/>
      <c r="J326" s="19"/>
      <c r="K326" s="20"/>
      <c r="L326" s="20"/>
      <c r="M326" s="23" t="str">
        <f aca="false">IF($B326="","",$F326*$E326)</f>
        <v/>
      </c>
      <c r="N326" s="23" t="str">
        <f aca="false">IF($B326="","",$M326*(1-설정!$B$7))</f>
        <v/>
      </c>
      <c r="O326" s="23" t="str">
        <f aca="false">IF($B326="","",$N326-($G326*$E326+$H326))</f>
        <v/>
      </c>
      <c r="P326" s="24" t="str">
        <f aca="true">IF($B326="","",IF(AND($I326=설정!$A$11,$A326&lt;&gt;"",TODAY()-$A326&gt;=설정!$B$8),"지연!",""))</f>
        <v/>
      </c>
    </row>
    <row r="327" customFormat="false" ht="15" hidden="false" customHeight="false" outlineLevel="0" collapsed="false">
      <c r="A327" s="19"/>
      <c r="B327" s="20"/>
      <c r="C327" s="5"/>
      <c r="D327" s="5"/>
      <c r="E327" s="21"/>
      <c r="F327" s="22"/>
      <c r="G327" s="22"/>
      <c r="H327" s="22"/>
      <c r="I327" s="15"/>
      <c r="J327" s="19"/>
      <c r="K327" s="20"/>
      <c r="L327" s="20"/>
      <c r="M327" s="23" t="str">
        <f aca="false">IF($B327="","",$F327*$E327)</f>
        <v/>
      </c>
      <c r="N327" s="23" t="str">
        <f aca="false">IF($B327="","",$M327*(1-설정!$B$7))</f>
        <v/>
      </c>
      <c r="O327" s="23" t="str">
        <f aca="false">IF($B327="","",$N327-($G327*$E327+$H327))</f>
        <v/>
      </c>
      <c r="P327" s="24" t="str">
        <f aca="true">IF($B327="","",IF(AND($I327=설정!$A$11,$A327&lt;&gt;"",TODAY()-$A327&gt;=설정!$B$8),"지연!",""))</f>
        <v/>
      </c>
    </row>
    <row r="328" customFormat="false" ht="15" hidden="false" customHeight="false" outlineLevel="0" collapsed="false">
      <c r="A328" s="19"/>
      <c r="B328" s="20"/>
      <c r="C328" s="5"/>
      <c r="D328" s="5"/>
      <c r="E328" s="21"/>
      <c r="F328" s="22"/>
      <c r="G328" s="22"/>
      <c r="H328" s="22"/>
      <c r="I328" s="15"/>
      <c r="J328" s="19"/>
      <c r="K328" s="20"/>
      <c r="L328" s="20"/>
      <c r="M328" s="23" t="str">
        <f aca="false">IF($B328="","",$F328*$E328)</f>
        <v/>
      </c>
      <c r="N328" s="23" t="str">
        <f aca="false">IF($B328="","",$M328*(1-설정!$B$7))</f>
        <v/>
      </c>
      <c r="O328" s="23" t="str">
        <f aca="false">IF($B328="","",$N328-($G328*$E328+$H328))</f>
        <v/>
      </c>
      <c r="P328" s="24" t="str">
        <f aca="true">IF($B328="","",IF(AND($I328=설정!$A$11,$A328&lt;&gt;"",TODAY()-$A328&gt;=설정!$B$8),"지연!",""))</f>
        <v/>
      </c>
    </row>
    <row r="329" customFormat="false" ht="15" hidden="false" customHeight="false" outlineLevel="0" collapsed="false">
      <c r="A329" s="19"/>
      <c r="B329" s="20"/>
      <c r="C329" s="5"/>
      <c r="D329" s="5"/>
      <c r="E329" s="21"/>
      <c r="F329" s="22"/>
      <c r="G329" s="22"/>
      <c r="H329" s="22"/>
      <c r="I329" s="15"/>
      <c r="J329" s="19"/>
      <c r="K329" s="20"/>
      <c r="L329" s="20"/>
      <c r="M329" s="23" t="str">
        <f aca="false">IF($B329="","",$F329*$E329)</f>
        <v/>
      </c>
      <c r="N329" s="23" t="str">
        <f aca="false">IF($B329="","",$M329*(1-설정!$B$7))</f>
        <v/>
      </c>
      <c r="O329" s="23" t="str">
        <f aca="false">IF($B329="","",$N329-($G329*$E329+$H329))</f>
        <v/>
      </c>
      <c r="P329" s="24" t="str">
        <f aca="true">IF($B329="","",IF(AND($I329=설정!$A$11,$A329&lt;&gt;"",TODAY()-$A329&gt;=설정!$B$8),"지연!",""))</f>
        <v/>
      </c>
    </row>
    <row r="330" customFormat="false" ht="15" hidden="false" customHeight="false" outlineLevel="0" collapsed="false">
      <c r="A330" s="19"/>
      <c r="B330" s="20"/>
      <c r="C330" s="5"/>
      <c r="D330" s="5"/>
      <c r="E330" s="21"/>
      <c r="F330" s="22"/>
      <c r="G330" s="22"/>
      <c r="H330" s="22"/>
      <c r="I330" s="15"/>
      <c r="J330" s="19"/>
      <c r="K330" s="20"/>
      <c r="L330" s="20"/>
      <c r="M330" s="23" t="str">
        <f aca="false">IF($B330="","",$F330*$E330)</f>
        <v/>
      </c>
      <c r="N330" s="23" t="str">
        <f aca="false">IF($B330="","",$M330*(1-설정!$B$7))</f>
        <v/>
      </c>
      <c r="O330" s="23" t="str">
        <f aca="false">IF($B330="","",$N330-($G330*$E330+$H330))</f>
        <v/>
      </c>
      <c r="P330" s="24" t="str">
        <f aca="true">IF($B330="","",IF(AND($I330=설정!$A$11,$A330&lt;&gt;"",TODAY()-$A330&gt;=설정!$B$8),"지연!",""))</f>
        <v/>
      </c>
    </row>
    <row r="331" customFormat="false" ht="15" hidden="false" customHeight="false" outlineLevel="0" collapsed="false">
      <c r="A331" s="19"/>
      <c r="B331" s="20"/>
      <c r="C331" s="5"/>
      <c r="D331" s="5"/>
      <c r="E331" s="21"/>
      <c r="F331" s="22"/>
      <c r="G331" s="22"/>
      <c r="H331" s="22"/>
      <c r="I331" s="15"/>
      <c r="J331" s="19"/>
      <c r="K331" s="20"/>
      <c r="L331" s="20"/>
      <c r="M331" s="23" t="str">
        <f aca="false">IF($B331="","",$F331*$E331)</f>
        <v/>
      </c>
      <c r="N331" s="23" t="str">
        <f aca="false">IF($B331="","",$M331*(1-설정!$B$7))</f>
        <v/>
      </c>
      <c r="O331" s="23" t="str">
        <f aca="false">IF($B331="","",$N331-($G331*$E331+$H331))</f>
        <v/>
      </c>
      <c r="P331" s="24" t="str">
        <f aca="true">IF($B331="","",IF(AND($I331=설정!$A$11,$A331&lt;&gt;"",TODAY()-$A331&gt;=설정!$B$8),"지연!",""))</f>
        <v/>
      </c>
    </row>
    <row r="332" customFormat="false" ht="15" hidden="false" customHeight="false" outlineLevel="0" collapsed="false">
      <c r="A332" s="19"/>
      <c r="B332" s="20"/>
      <c r="C332" s="5"/>
      <c r="D332" s="5"/>
      <c r="E332" s="21"/>
      <c r="F332" s="22"/>
      <c r="G332" s="22"/>
      <c r="H332" s="22"/>
      <c r="I332" s="15"/>
      <c r="J332" s="19"/>
      <c r="K332" s="20"/>
      <c r="L332" s="20"/>
      <c r="M332" s="23" t="str">
        <f aca="false">IF($B332="","",$F332*$E332)</f>
        <v/>
      </c>
      <c r="N332" s="23" t="str">
        <f aca="false">IF($B332="","",$M332*(1-설정!$B$7))</f>
        <v/>
      </c>
      <c r="O332" s="23" t="str">
        <f aca="false">IF($B332="","",$N332-($G332*$E332+$H332))</f>
        <v/>
      </c>
      <c r="P332" s="24" t="str">
        <f aca="true">IF($B332="","",IF(AND($I332=설정!$A$11,$A332&lt;&gt;"",TODAY()-$A332&gt;=설정!$B$8),"지연!",""))</f>
        <v/>
      </c>
    </row>
    <row r="333" customFormat="false" ht="15" hidden="false" customHeight="false" outlineLevel="0" collapsed="false">
      <c r="A333" s="19"/>
      <c r="B333" s="20"/>
      <c r="C333" s="5"/>
      <c r="D333" s="5"/>
      <c r="E333" s="21"/>
      <c r="F333" s="22"/>
      <c r="G333" s="22"/>
      <c r="H333" s="22"/>
      <c r="I333" s="15"/>
      <c r="J333" s="19"/>
      <c r="K333" s="20"/>
      <c r="L333" s="20"/>
      <c r="M333" s="23" t="str">
        <f aca="false">IF($B333="","",$F333*$E333)</f>
        <v/>
      </c>
      <c r="N333" s="23" t="str">
        <f aca="false">IF($B333="","",$M333*(1-설정!$B$7))</f>
        <v/>
      </c>
      <c r="O333" s="23" t="str">
        <f aca="false">IF($B333="","",$N333-($G333*$E333+$H333))</f>
        <v/>
      </c>
      <c r="P333" s="24" t="str">
        <f aca="true">IF($B333="","",IF(AND($I333=설정!$A$11,$A333&lt;&gt;"",TODAY()-$A333&gt;=설정!$B$8),"지연!",""))</f>
        <v/>
      </c>
    </row>
    <row r="334" customFormat="false" ht="15" hidden="false" customHeight="false" outlineLevel="0" collapsed="false">
      <c r="A334" s="19"/>
      <c r="B334" s="20"/>
      <c r="C334" s="5"/>
      <c r="D334" s="5"/>
      <c r="E334" s="21"/>
      <c r="F334" s="22"/>
      <c r="G334" s="22"/>
      <c r="H334" s="22"/>
      <c r="I334" s="15"/>
      <c r="J334" s="19"/>
      <c r="K334" s="20"/>
      <c r="L334" s="20"/>
      <c r="M334" s="23" t="str">
        <f aca="false">IF($B334="","",$F334*$E334)</f>
        <v/>
      </c>
      <c r="N334" s="23" t="str">
        <f aca="false">IF($B334="","",$M334*(1-설정!$B$7))</f>
        <v/>
      </c>
      <c r="O334" s="23" t="str">
        <f aca="false">IF($B334="","",$N334-($G334*$E334+$H334))</f>
        <v/>
      </c>
      <c r="P334" s="24" t="str">
        <f aca="true">IF($B334="","",IF(AND($I334=설정!$A$11,$A334&lt;&gt;"",TODAY()-$A334&gt;=설정!$B$8),"지연!",""))</f>
        <v/>
      </c>
    </row>
    <row r="335" customFormat="false" ht="15" hidden="false" customHeight="false" outlineLevel="0" collapsed="false">
      <c r="A335" s="19"/>
      <c r="B335" s="20"/>
      <c r="C335" s="5"/>
      <c r="D335" s="5"/>
      <c r="E335" s="21"/>
      <c r="F335" s="22"/>
      <c r="G335" s="22"/>
      <c r="H335" s="22"/>
      <c r="I335" s="15"/>
      <c r="J335" s="19"/>
      <c r="K335" s="20"/>
      <c r="L335" s="20"/>
      <c r="M335" s="23" t="str">
        <f aca="false">IF($B335="","",$F335*$E335)</f>
        <v/>
      </c>
      <c r="N335" s="23" t="str">
        <f aca="false">IF($B335="","",$M335*(1-설정!$B$7))</f>
        <v/>
      </c>
      <c r="O335" s="23" t="str">
        <f aca="false">IF($B335="","",$N335-($G335*$E335+$H335))</f>
        <v/>
      </c>
      <c r="P335" s="24" t="str">
        <f aca="true">IF($B335="","",IF(AND($I335=설정!$A$11,$A335&lt;&gt;"",TODAY()-$A335&gt;=설정!$B$8),"지연!",""))</f>
        <v/>
      </c>
    </row>
    <row r="336" customFormat="false" ht="15" hidden="false" customHeight="false" outlineLevel="0" collapsed="false">
      <c r="A336" s="19"/>
      <c r="B336" s="20"/>
      <c r="C336" s="5"/>
      <c r="D336" s="5"/>
      <c r="E336" s="21"/>
      <c r="F336" s="22"/>
      <c r="G336" s="22"/>
      <c r="H336" s="22"/>
      <c r="I336" s="15"/>
      <c r="J336" s="19"/>
      <c r="K336" s="20"/>
      <c r="L336" s="20"/>
      <c r="M336" s="23" t="str">
        <f aca="false">IF($B336="","",$F336*$E336)</f>
        <v/>
      </c>
      <c r="N336" s="23" t="str">
        <f aca="false">IF($B336="","",$M336*(1-설정!$B$7))</f>
        <v/>
      </c>
      <c r="O336" s="23" t="str">
        <f aca="false">IF($B336="","",$N336-($G336*$E336+$H336))</f>
        <v/>
      </c>
      <c r="P336" s="24" t="str">
        <f aca="true">IF($B336="","",IF(AND($I336=설정!$A$11,$A336&lt;&gt;"",TODAY()-$A336&gt;=설정!$B$8),"지연!",""))</f>
        <v/>
      </c>
    </row>
    <row r="337" customFormat="false" ht="15" hidden="false" customHeight="false" outlineLevel="0" collapsed="false">
      <c r="A337" s="19"/>
      <c r="B337" s="20"/>
      <c r="C337" s="5"/>
      <c r="D337" s="5"/>
      <c r="E337" s="21"/>
      <c r="F337" s="22"/>
      <c r="G337" s="22"/>
      <c r="H337" s="22"/>
      <c r="I337" s="15"/>
      <c r="J337" s="19"/>
      <c r="K337" s="20"/>
      <c r="L337" s="20"/>
      <c r="M337" s="23" t="str">
        <f aca="false">IF($B337="","",$F337*$E337)</f>
        <v/>
      </c>
      <c r="N337" s="23" t="str">
        <f aca="false">IF($B337="","",$M337*(1-설정!$B$7))</f>
        <v/>
      </c>
      <c r="O337" s="23" t="str">
        <f aca="false">IF($B337="","",$N337-($G337*$E337+$H337))</f>
        <v/>
      </c>
      <c r="P337" s="24" t="str">
        <f aca="true">IF($B337="","",IF(AND($I337=설정!$A$11,$A337&lt;&gt;"",TODAY()-$A337&gt;=설정!$B$8),"지연!",""))</f>
        <v/>
      </c>
    </row>
    <row r="338" customFormat="false" ht="15" hidden="false" customHeight="false" outlineLevel="0" collapsed="false">
      <c r="A338" s="19"/>
      <c r="B338" s="20"/>
      <c r="C338" s="5"/>
      <c r="D338" s="5"/>
      <c r="E338" s="21"/>
      <c r="F338" s="22"/>
      <c r="G338" s="22"/>
      <c r="H338" s="22"/>
      <c r="I338" s="15"/>
      <c r="J338" s="19"/>
      <c r="K338" s="20"/>
      <c r="L338" s="20"/>
      <c r="M338" s="23" t="str">
        <f aca="false">IF($B338="","",$F338*$E338)</f>
        <v/>
      </c>
      <c r="N338" s="23" t="str">
        <f aca="false">IF($B338="","",$M338*(1-설정!$B$7))</f>
        <v/>
      </c>
      <c r="O338" s="23" t="str">
        <f aca="false">IF($B338="","",$N338-($G338*$E338+$H338))</f>
        <v/>
      </c>
      <c r="P338" s="24" t="str">
        <f aca="true">IF($B338="","",IF(AND($I338=설정!$A$11,$A338&lt;&gt;"",TODAY()-$A338&gt;=설정!$B$8),"지연!",""))</f>
        <v/>
      </c>
    </row>
    <row r="339" customFormat="false" ht="15" hidden="false" customHeight="false" outlineLevel="0" collapsed="false">
      <c r="A339" s="19"/>
      <c r="B339" s="20"/>
      <c r="C339" s="5"/>
      <c r="D339" s="5"/>
      <c r="E339" s="21"/>
      <c r="F339" s="22"/>
      <c r="G339" s="22"/>
      <c r="H339" s="22"/>
      <c r="I339" s="15"/>
      <c r="J339" s="19"/>
      <c r="K339" s="20"/>
      <c r="L339" s="20"/>
      <c r="M339" s="23" t="str">
        <f aca="false">IF($B339="","",$F339*$E339)</f>
        <v/>
      </c>
      <c r="N339" s="23" t="str">
        <f aca="false">IF($B339="","",$M339*(1-설정!$B$7))</f>
        <v/>
      </c>
      <c r="O339" s="23" t="str">
        <f aca="false">IF($B339="","",$N339-($G339*$E339+$H339))</f>
        <v/>
      </c>
      <c r="P339" s="24" t="str">
        <f aca="true">IF($B339="","",IF(AND($I339=설정!$A$11,$A339&lt;&gt;"",TODAY()-$A339&gt;=설정!$B$8),"지연!",""))</f>
        <v/>
      </c>
    </row>
    <row r="340" customFormat="false" ht="15" hidden="false" customHeight="false" outlineLevel="0" collapsed="false">
      <c r="A340" s="19"/>
      <c r="B340" s="20"/>
      <c r="C340" s="5"/>
      <c r="D340" s="5"/>
      <c r="E340" s="21"/>
      <c r="F340" s="22"/>
      <c r="G340" s="22"/>
      <c r="H340" s="22"/>
      <c r="I340" s="15"/>
      <c r="J340" s="19"/>
      <c r="K340" s="20"/>
      <c r="L340" s="20"/>
      <c r="M340" s="23" t="str">
        <f aca="false">IF($B340="","",$F340*$E340)</f>
        <v/>
      </c>
      <c r="N340" s="23" t="str">
        <f aca="false">IF($B340="","",$M340*(1-설정!$B$7))</f>
        <v/>
      </c>
      <c r="O340" s="23" t="str">
        <f aca="false">IF($B340="","",$N340-($G340*$E340+$H340))</f>
        <v/>
      </c>
      <c r="P340" s="24" t="str">
        <f aca="true">IF($B340="","",IF(AND($I340=설정!$A$11,$A340&lt;&gt;"",TODAY()-$A340&gt;=설정!$B$8),"지연!",""))</f>
        <v/>
      </c>
    </row>
    <row r="341" customFormat="false" ht="15" hidden="false" customHeight="false" outlineLevel="0" collapsed="false">
      <c r="A341" s="19"/>
      <c r="B341" s="20"/>
      <c r="C341" s="5"/>
      <c r="D341" s="5"/>
      <c r="E341" s="21"/>
      <c r="F341" s="22"/>
      <c r="G341" s="22"/>
      <c r="H341" s="22"/>
      <c r="I341" s="15"/>
      <c r="J341" s="19"/>
      <c r="K341" s="20"/>
      <c r="L341" s="20"/>
      <c r="M341" s="23" t="str">
        <f aca="false">IF($B341="","",$F341*$E341)</f>
        <v/>
      </c>
      <c r="N341" s="23" t="str">
        <f aca="false">IF($B341="","",$M341*(1-설정!$B$7))</f>
        <v/>
      </c>
      <c r="O341" s="23" t="str">
        <f aca="false">IF($B341="","",$N341-($G341*$E341+$H341))</f>
        <v/>
      </c>
      <c r="P341" s="24" t="str">
        <f aca="true">IF($B341="","",IF(AND($I341=설정!$A$11,$A341&lt;&gt;"",TODAY()-$A341&gt;=설정!$B$8),"지연!",""))</f>
        <v/>
      </c>
    </row>
    <row r="342" customFormat="false" ht="15" hidden="false" customHeight="false" outlineLevel="0" collapsed="false">
      <c r="A342" s="19"/>
      <c r="B342" s="20"/>
      <c r="C342" s="5"/>
      <c r="D342" s="5"/>
      <c r="E342" s="21"/>
      <c r="F342" s="22"/>
      <c r="G342" s="22"/>
      <c r="H342" s="22"/>
      <c r="I342" s="15"/>
      <c r="J342" s="19"/>
      <c r="K342" s="20"/>
      <c r="L342" s="20"/>
      <c r="M342" s="23" t="str">
        <f aca="false">IF($B342="","",$F342*$E342)</f>
        <v/>
      </c>
      <c r="N342" s="23" t="str">
        <f aca="false">IF($B342="","",$M342*(1-설정!$B$7))</f>
        <v/>
      </c>
      <c r="O342" s="23" t="str">
        <f aca="false">IF($B342="","",$N342-($G342*$E342+$H342))</f>
        <v/>
      </c>
      <c r="P342" s="24" t="str">
        <f aca="true">IF($B342="","",IF(AND($I342=설정!$A$11,$A342&lt;&gt;"",TODAY()-$A342&gt;=설정!$B$8),"지연!",""))</f>
        <v/>
      </c>
    </row>
    <row r="343" customFormat="false" ht="15" hidden="false" customHeight="false" outlineLevel="0" collapsed="false">
      <c r="A343" s="19"/>
      <c r="B343" s="20"/>
      <c r="C343" s="5"/>
      <c r="D343" s="5"/>
      <c r="E343" s="21"/>
      <c r="F343" s="22"/>
      <c r="G343" s="22"/>
      <c r="H343" s="22"/>
      <c r="I343" s="15"/>
      <c r="J343" s="19"/>
      <c r="K343" s="20"/>
      <c r="L343" s="20"/>
      <c r="M343" s="23" t="str">
        <f aca="false">IF($B343="","",$F343*$E343)</f>
        <v/>
      </c>
      <c r="N343" s="23" t="str">
        <f aca="false">IF($B343="","",$M343*(1-설정!$B$7))</f>
        <v/>
      </c>
      <c r="O343" s="23" t="str">
        <f aca="false">IF($B343="","",$N343-($G343*$E343+$H343))</f>
        <v/>
      </c>
      <c r="P343" s="24" t="str">
        <f aca="true">IF($B343="","",IF(AND($I343=설정!$A$11,$A343&lt;&gt;"",TODAY()-$A343&gt;=설정!$B$8),"지연!",""))</f>
        <v/>
      </c>
    </row>
    <row r="344" customFormat="false" ht="15" hidden="false" customHeight="false" outlineLevel="0" collapsed="false">
      <c r="A344" s="19"/>
      <c r="B344" s="20"/>
      <c r="C344" s="5"/>
      <c r="D344" s="5"/>
      <c r="E344" s="21"/>
      <c r="F344" s="22"/>
      <c r="G344" s="22"/>
      <c r="H344" s="22"/>
      <c r="I344" s="15"/>
      <c r="J344" s="19"/>
      <c r="K344" s="20"/>
      <c r="L344" s="20"/>
      <c r="M344" s="23" t="str">
        <f aca="false">IF($B344="","",$F344*$E344)</f>
        <v/>
      </c>
      <c r="N344" s="23" t="str">
        <f aca="false">IF($B344="","",$M344*(1-설정!$B$7))</f>
        <v/>
      </c>
      <c r="O344" s="23" t="str">
        <f aca="false">IF($B344="","",$N344-($G344*$E344+$H344))</f>
        <v/>
      </c>
      <c r="P344" s="24" t="str">
        <f aca="true">IF($B344="","",IF(AND($I344=설정!$A$11,$A344&lt;&gt;"",TODAY()-$A344&gt;=설정!$B$8),"지연!",""))</f>
        <v/>
      </c>
    </row>
    <row r="345" customFormat="false" ht="15" hidden="false" customHeight="false" outlineLevel="0" collapsed="false">
      <c r="A345" s="19"/>
      <c r="B345" s="20"/>
      <c r="C345" s="5"/>
      <c r="D345" s="5"/>
      <c r="E345" s="21"/>
      <c r="F345" s="22"/>
      <c r="G345" s="22"/>
      <c r="H345" s="22"/>
      <c r="I345" s="15"/>
      <c r="J345" s="19"/>
      <c r="K345" s="20"/>
      <c r="L345" s="20"/>
      <c r="M345" s="23" t="str">
        <f aca="false">IF($B345="","",$F345*$E345)</f>
        <v/>
      </c>
      <c r="N345" s="23" t="str">
        <f aca="false">IF($B345="","",$M345*(1-설정!$B$7))</f>
        <v/>
      </c>
      <c r="O345" s="23" t="str">
        <f aca="false">IF($B345="","",$N345-($G345*$E345+$H345))</f>
        <v/>
      </c>
      <c r="P345" s="24" t="str">
        <f aca="true">IF($B345="","",IF(AND($I345=설정!$A$11,$A345&lt;&gt;"",TODAY()-$A345&gt;=설정!$B$8),"지연!",""))</f>
        <v/>
      </c>
    </row>
    <row r="346" customFormat="false" ht="15" hidden="false" customHeight="false" outlineLevel="0" collapsed="false">
      <c r="A346" s="19"/>
      <c r="B346" s="20"/>
      <c r="C346" s="5"/>
      <c r="D346" s="5"/>
      <c r="E346" s="21"/>
      <c r="F346" s="22"/>
      <c r="G346" s="22"/>
      <c r="H346" s="22"/>
      <c r="I346" s="15"/>
      <c r="J346" s="19"/>
      <c r="K346" s="20"/>
      <c r="L346" s="20"/>
      <c r="M346" s="23" t="str">
        <f aca="false">IF($B346="","",$F346*$E346)</f>
        <v/>
      </c>
      <c r="N346" s="23" t="str">
        <f aca="false">IF($B346="","",$M346*(1-설정!$B$7))</f>
        <v/>
      </c>
      <c r="O346" s="23" t="str">
        <f aca="false">IF($B346="","",$N346-($G346*$E346+$H346))</f>
        <v/>
      </c>
      <c r="P346" s="24" t="str">
        <f aca="true">IF($B346="","",IF(AND($I346=설정!$A$11,$A346&lt;&gt;"",TODAY()-$A346&gt;=설정!$B$8),"지연!",""))</f>
        <v/>
      </c>
    </row>
    <row r="347" customFormat="false" ht="15" hidden="false" customHeight="false" outlineLevel="0" collapsed="false">
      <c r="A347" s="19"/>
      <c r="B347" s="20"/>
      <c r="C347" s="5"/>
      <c r="D347" s="5"/>
      <c r="E347" s="21"/>
      <c r="F347" s="22"/>
      <c r="G347" s="22"/>
      <c r="H347" s="22"/>
      <c r="I347" s="15"/>
      <c r="J347" s="19"/>
      <c r="K347" s="20"/>
      <c r="L347" s="20"/>
      <c r="M347" s="23" t="str">
        <f aca="false">IF($B347="","",$F347*$E347)</f>
        <v/>
      </c>
      <c r="N347" s="23" t="str">
        <f aca="false">IF($B347="","",$M347*(1-설정!$B$7))</f>
        <v/>
      </c>
      <c r="O347" s="23" t="str">
        <f aca="false">IF($B347="","",$N347-($G347*$E347+$H347))</f>
        <v/>
      </c>
      <c r="P347" s="24" t="str">
        <f aca="true">IF($B347="","",IF(AND($I347=설정!$A$11,$A347&lt;&gt;"",TODAY()-$A347&gt;=설정!$B$8),"지연!",""))</f>
        <v/>
      </c>
    </row>
    <row r="348" customFormat="false" ht="15" hidden="false" customHeight="false" outlineLevel="0" collapsed="false">
      <c r="A348" s="19"/>
      <c r="B348" s="20"/>
      <c r="C348" s="5"/>
      <c r="D348" s="5"/>
      <c r="E348" s="21"/>
      <c r="F348" s="22"/>
      <c r="G348" s="22"/>
      <c r="H348" s="22"/>
      <c r="I348" s="15"/>
      <c r="J348" s="19"/>
      <c r="K348" s="20"/>
      <c r="L348" s="20"/>
      <c r="M348" s="23" t="str">
        <f aca="false">IF($B348="","",$F348*$E348)</f>
        <v/>
      </c>
      <c r="N348" s="23" t="str">
        <f aca="false">IF($B348="","",$M348*(1-설정!$B$7))</f>
        <v/>
      </c>
      <c r="O348" s="23" t="str">
        <f aca="false">IF($B348="","",$N348-($G348*$E348+$H348))</f>
        <v/>
      </c>
      <c r="P348" s="24" t="str">
        <f aca="true">IF($B348="","",IF(AND($I348=설정!$A$11,$A348&lt;&gt;"",TODAY()-$A348&gt;=설정!$B$8),"지연!",""))</f>
        <v/>
      </c>
    </row>
    <row r="349" customFormat="false" ht="15" hidden="false" customHeight="false" outlineLevel="0" collapsed="false">
      <c r="A349" s="19"/>
      <c r="B349" s="20"/>
      <c r="C349" s="5"/>
      <c r="D349" s="5"/>
      <c r="E349" s="21"/>
      <c r="F349" s="22"/>
      <c r="G349" s="22"/>
      <c r="H349" s="22"/>
      <c r="I349" s="15"/>
      <c r="J349" s="19"/>
      <c r="K349" s="20"/>
      <c r="L349" s="20"/>
      <c r="M349" s="23" t="str">
        <f aca="false">IF($B349="","",$F349*$E349)</f>
        <v/>
      </c>
      <c r="N349" s="23" t="str">
        <f aca="false">IF($B349="","",$M349*(1-설정!$B$7))</f>
        <v/>
      </c>
      <c r="O349" s="23" t="str">
        <f aca="false">IF($B349="","",$N349-($G349*$E349+$H349))</f>
        <v/>
      </c>
      <c r="P349" s="24" t="str">
        <f aca="true">IF($B349="","",IF(AND($I349=설정!$A$11,$A349&lt;&gt;"",TODAY()-$A349&gt;=설정!$B$8),"지연!",""))</f>
        <v/>
      </c>
    </row>
    <row r="350" customFormat="false" ht="15" hidden="false" customHeight="false" outlineLevel="0" collapsed="false">
      <c r="A350" s="19"/>
      <c r="B350" s="20"/>
      <c r="C350" s="5"/>
      <c r="D350" s="5"/>
      <c r="E350" s="21"/>
      <c r="F350" s="22"/>
      <c r="G350" s="22"/>
      <c r="H350" s="22"/>
      <c r="I350" s="15"/>
      <c r="J350" s="19"/>
      <c r="K350" s="20"/>
      <c r="L350" s="20"/>
      <c r="M350" s="23" t="str">
        <f aca="false">IF($B350="","",$F350*$E350)</f>
        <v/>
      </c>
      <c r="N350" s="23" t="str">
        <f aca="false">IF($B350="","",$M350*(1-설정!$B$7))</f>
        <v/>
      </c>
      <c r="O350" s="23" t="str">
        <f aca="false">IF($B350="","",$N350-($G350*$E350+$H350))</f>
        <v/>
      </c>
      <c r="P350" s="24" t="str">
        <f aca="true">IF($B350="","",IF(AND($I350=설정!$A$11,$A350&lt;&gt;"",TODAY()-$A350&gt;=설정!$B$8),"지연!",""))</f>
        <v/>
      </c>
    </row>
    <row r="351" customFormat="false" ht="15" hidden="false" customHeight="false" outlineLevel="0" collapsed="false">
      <c r="A351" s="19"/>
      <c r="B351" s="20"/>
      <c r="C351" s="5"/>
      <c r="D351" s="5"/>
      <c r="E351" s="21"/>
      <c r="F351" s="22"/>
      <c r="G351" s="22"/>
      <c r="H351" s="22"/>
      <c r="I351" s="15"/>
      <c r="J351" s="19"/>
      <c r="K351" s="20"/>
      <c r="L351" s="20"/>
      <c r="M351" s="23" t="str">
        <f aca="false">IF($B351="","",$F351*$E351)</f>
        <v/>
      </c>
      <c r="N351" s="23" t="str">
        <f aca="false">IF($B351="","",$M351*(1-설정!$B$7))</f>
        <v/>
      </c>
      <c r="O351" s="23" t="str">
        <f aca="false">IF($B351="","",$N351-($G351*$E351+$H351))</f>
        <v/>
      </c>
      <c r="P351" s="24" t="str">
        <f aca="true">IF($B351="","",IF(AND($I351=설정!$A$11,$A351&lt;&gt;"",TODAY()-$A351&gt;=설정!$B$8),"지연!",""))</f>
        <v/>
      </c>
    </row>
    <row r="352" customFormat="false" ht="15" hidden="false" customHeight="false" outlineLevel="0" collapsed="false">
      <c r="A352" s="19"/>
      <c r="B352" s="20"/>
      <c r="C352" s="5"/>
      <c r="D352" s="5"/>
      <c r="E352" s="21"/>
      <c r="F352" s="22"/>
      <c r="G352" s="22"/>
      <c r="H352" s="22"/>
      <c r="I352" s="15"/>
      <c r="J352" s="19"/>
      <c r="K352" s="20"/>
      <c r="L352" s="20"/>
      <c r="M352" s="23" t="str">
        <f aca="false">IF($B352="","",$F352*$E352)</f>
        <v/>
      </c>
      <c r="N352" s="23" t="str">
        <f aca="false">IF($B352="","",$M352*(1-설정!$B$7))</f>
        <v/>
      </c>
      <c r="O352" s="23" t="str">
        <f aca="false">IF($B352="","",$N352-($G352*$E352+$H352))</f>
        <v/>
      </c>
      <c r="P352" s="24" t="str">
        <f aca="true">IF($B352="","",IF(AND($I352=설정!$A$11,$A352&lt;&gt;"",TODAY()-$A352&gt;=설정!$B$8),"지연!",""))</f>
        <v/>
      </c>
    </row>
    <row r="353" customFormat="false" ht="15" hidden="false" customHeight="false" outlineLevel="0" collapsed="false">
      <c r="A353" s="19"/>
      <c r="B353" s="20"/>
      <c r="C353" s="5"/>
      <c r="D353" s="5"/>
      <c r="E353" s="21"/>
      <c r="F353" s="22"/>
      <c r="G353" s="22"/>
      <c r="H353" s="22"/>
      <c r="I353" s="15"/>
      <c r="J353" s="19"/>
      <c r="K353" s="20"/>
      <c r="L353" s="20"/>
      <c r="M353" s="23" t="str">
        <f aca="false">IF($B353="","",$F353*$E353)</f>
        <v/>
      </c>
      <c r="N353" s="23" t="str">
        <f aca="false">IF($B353="","",$M353*(1-설정!$B$7))</f>
        <v/>
      </c>
      <c r="O353" s="23" t="str">
        <f aca="false">IF($B353="","",$N353-($G353*$E353+$H353))</f>
        <v/>
      </c>
      <c r="P353" s="24" t="str">
        <f aca="true">IF($B353="","",IF(AND($I353=설정!$A$11,$A353&lt;&gt;"",TODAY()-$A353&gt;=설정!$B$8),"지연!",""))</f>
        <v/>
      </c>
    </row>
    <row r="354" customFormat="false" ht="15" hidden="false" customHeight="false" outlineLevel="0" collapsed="false">
      <c r="A354" s="19"/>
      <c r="B354" s="20"/>
      <c r="C354" s="5"/>
      <c r="D354" s="5"/>
      <c r="E354" s="21"/>
      <c r="F354" s="22"/>
      <c r="G354" s="22"/>
      <c r="H354" s="22"/>
      <c r="I354" s="15"/>
      <c r="J354" s="19"/>
      <c r="K354" s="20"/>
      <c r="L354" s="20"/>
      <c r="M354" s="23" t="str">
        <f aca="false">IF($B354="","",$F354*$E354)</f>
        <v/>
      </c>
      <c r="N354" s="23" t="str">
        <f aca="false">IF($B354="","",$M354*(1-설정!$B$7))</f>
        <v/>
      </c>
      <c r="O354" s="23" t="str">
        <f aca="false">IF($B354="","",$N354-($G354*$E354+$H354))</f>
        <v/>
      </c>
      <c r="P354" s="24" t="str">
        <f aca="true">IF($B354="","",IF(AND($I354=설정!$A$11,$A354&lt;&gt;"",TODAY()-$A354&gt;=설정!$B$8),"지연!",""))</f>
        <v/>
      </c>
    </row>
    <row r="355" customFormat="false" ht="15" hidden="false" customHeight="false" outlineLevel="0" collapsed="false">
      <c r="A355" s="19"/>
      <c r="B355" s="20"/>
      <c r="C355" s="5"/>
      <c r="D355" s="5"/>
      <c r="E355" s="21"/>
      <c r="F355" s="22"/>
      <c r="G355" s="22"/>
      <c r="H355" s="22"/>
      <c r="I355" s="15"/>
      <c r="J355" s="19"/>
      <c r="K355" s="20"/>
      <c r="L355" s="20"/>
      <c r="M355" s="23" t="str">
        <f aca="false">IF($B355="","",$F355*$E355)</f>
        <v/>
      </c>
      <c r="N355" s="23" t="str">
        <f aca="false">IF($B355="","",$M355*(1-설정!$B$7))</f>
        <v/>
      </c>
      <c r="O355" s="23" t="str">
        <f aca="false">IF($B355="","",$N355-($G355*$E355+$H355))</f>
        <v/>
      </c>
      <c r="P355" s="24" t="str">
        <f aca="true">IF($B355="","",IF(AND($I355=설정!$A$11,$A355&lt;&gt;"",TODAY()-$A355&gt;=설정!$B$8),"지연!",""))</f>
        <v/>
      </c>
    </row>
    <row r="356" customFormat="false" ht="15" hidden="false" customHeight="false" outlineLevel="0" collapsed="false">
      <c r="A356" s="19"/>
      <c r="B356" s="20"/>
      <c r="C356" s="5"/>
      <c r="D356" s="5"/>
      <c r="E356" s="21"/>
      <c r="F356" s="22"/>
      <c r="G356" s="22"/>
      <c r="H356" s="22"/>
      <c r="I356" s="15"/>
      <c r="J356" s="19"/>
      <c r="K356" s="20"/>
      <c r="L356" s="20"/>
      <c r="M356" s="23" t="str">
        <f aca="false">IF($B356="","",$F356*$E356)</f>
        <v/>
      </c>
      <c r="N356" s="23" t="str">
        <f aca="false">IF($B356="","",$M356*(1-설정!$B$7))</f>
        <v/>
      </c>
      <c r="O356" s="23" t="str">
        <f aca="false">IF($B356="","",$N356-($G356*$E356+$H356))</f>
        <v/>
      </c>
      <c r="P356" s="24" t="str">
        <f aca="true">IF($B356="","",IF(AND($I356=설정!$A$11,$A356&lt;&gt;"",TODAY()-$A356&gt;=설정!$B$8),"지연!",""))</f>
        <v/>
      </c>
    </row>
    <row r="357" customFormat="false" ht="15" hidden="false" customHeight="false" outlineLevel="0" collapsed="false">
      <c r="A357" s="19"/>
      <c r="B357" s="20"/>
      <c r="C357" s="5"/>
      <c r="D357" s="5"/>
      <c r="E357" s="21"/>
      <c r="F357" s="22"/>
      <c r="G357" s="22"/>
      <c r="H357" s="22"/>
      <c r="I357" s="15"/>
      <c r="J357" s="19"/>
      <c r="K357" s="20"/>
      <c r="L357" s="20"/>
      <c r="M357" s="23" t="str">
        <f aca="false">IF($B357="","",$F357*$E357)</f>
        <v/>
      </c>
      <c r="N357" s="23" t="str">
        <f aca="false">IF($B357="","",$M357*(1-설정!$B$7))</f>
        <v/>
      </c>
      <c r="O357" s="23" t="str">
        <f aca="false">IF($B357="","",$N357-($G357*$E357+$H357))</f>
        <v/>
      </c>
      <c r="P357" s="24" t="str">
        <f aca="true">IF($B357="","",IF(AND($I357=설정!$A$11,$A357&lt;&gt;"",TODAY()-$A357&gt;=설정!$B$8),"지연!",""))</f>
        <v/>
      </c>
    </row>
    <row r="358" customFormat="false" ht="15" hidden="false" customHeight="false" outlineLevel="0" collapsed="false">
      <c r="A358" s="19"/>
      <c r="B358" s="20"/>
      <c r="C358" s="5"/>
      <c r="D358" s="5"/>
      <c r="E358" s="21"/>
      <c r="F358" s="22"/>
      <c r="G358" s="22"/>
      <c r="H358" s="22"/>
      <c r="I358" s="15"/>
      <c r="J358" s="19"/>
      <c r="K358" s="20"/>
      <c r="L358" s="20"/>
      <c r="M358" s="23" t="str">
        <f aca="false">IF($B358="","",$F358*$E358)</f>
        <v/>
      </c>
      <c r="N358" s="23" t="str">
        <f aca="false">IF($B358="","",$M358*(1-설정!$B$7))</f>
        <v/>
      </c>
      <c r="O358" s="23" t="str">
        <f aca="false">IF($B358="","",$N358-($G358*$E358+$H358))</f>
        <v/>
      </c>
      <c r="P358" s="24" t="str">
        <f aca="true">IF($B358="","",IF(AND($I358=설정!$A$11,$A358&lt;&gt;"",TODAY()-$A358&gt;=설정!$B$8),"지연!",""))</f>
        <v/>
      </c>
    </row>
    <row r="359" customFormat="false" ht="15" hidden="false" customHeight="false" outlineLevel="0" collapsed="false">
      <c r="A359" s="19"/>
      <c r="B359" s="20"/>
      <c r="C359" s="5"/>
      <c r="D359" s="5"/>
      <c r="E359" s="21"/>
      <c r="F359" s="22"/>
      <c r="G359" s="22"/>
      <c r="H359" s="22"/>
      <c r="I359" s="15"/>
      <c r="J359" s="19"/>
      <c r="K359" s="20"/>
      <c r="L359" s="20"/>
      <c r="M359" s="23" t="str">
        <f aca="false">IF($B359="","",$F359*$E359)</f>
        <v/>
      </c>
      <c r="N359" s="23" t="str">
        <f aca="false">IF($B359="","",$M359*(1-설정!$B$7))</f>
        <v/>
      </c>
      <c r="O359" s="23" t="str">
        <f aca="false">IF($B359="","",$N359-($G359*$E359+$H359))</f>
        <v/>
      </c>
      <c r="P359" s="24" t="str">
        <f aca="true">IF($B359="","",IF(AND($I359=설정!$A$11,$A359&lt;&gt;"",TODAY()-$A359&gt;=설정!$B$8),"지연!",""))</f>
        <v/>
      </c>
    </row>
    <row r="360" customFormat="false" ht="15" hidden="false" customHeight="false" outlineLevel="0" collapsed="false">
      <c r="A360" s="19"/>
      <c r="B360" s="20"/>
      <c r="C360" s="5"/>
      <c r="D360" s="5"/>
      <c r="E360" s="21"/>
      <c r="F360" s="22"/>
      <c r="G360" s="22"/>
      <c r="H360" s="22"/>
      <c r="I360" s="15"/>
      <c r="J360" s="19"/>
      <c r="K360" s="20"/>
      <c r="L360" s="20"/>
      <c r="M360" s="23" t="str">
        <f aca="false">IF($B360="","",$F360*$E360)</f>
        <v/>
      </c>
      <c r="N360" s="23" t="str">
        <f aca="false">IF($B360="","",$M360*(1-설정!$B$7))</f>
        <v/>
      </c>
      <c r="O360" s="23" t="str">
        <f aca="false">IF($B360="","",$N360-($G360*$E360+$H360))</f>
        <v/>
      </c>
      <c r="P360" s="24" t="str">
        <f aca="true">IF($B360="","",IF(AND($I360=설정!$A$11,$A360&lt;&gt;"",TODAY()-$A360&gt;=설정!$B$8),"지연!",""))</f>
        <v/>
      </c>
    </row>
    <row r="361" customFormat="false" ht="15" hidden="false" customHeight="false" outlineLevel="0" collapsed="false">
      <c r="A361" s="19"/>
      <c r="B361" s="20"/>
      <c r="C361" s="5"/>
      <c r="D361" s="5"/>
      <c r="E361" s="21"/>
      <c r="F361" s="22"/>
      <c r="G361" s="22"/>
      <c r="H361" s="22"/>
      <c r="I361" s="15"/>
      <c r="J361" s="19"/>
      <c r="K361" s="20"/>
      <c r="L361" s="20"/>
      <c r="M361" s="23" t="str">
        <f aca="false">IF($B361="","",$F361*$E361)</f>
        <v/>
      </c>
      <c r="N361" s="23" t="str">
        <f aca="false">IF($B361="","",$M361*(1-설정!$B$7))</f>
        <v/>
      </c>
      <c r="O361" s="23" t="str">
        <f aca="false">IF($B361="","",$N361-($G361*$E361+$H361))</f>
        <v/>
      </c>
      <c r="P361" s="24" t="str">
        <f aca="true">IF($B361="","",IF(AND($I361=설정!$A$11,$A361&lt;&gt;"",TODAY()-$A361&gt;=설정!$B$8),"지연!",""))</f>
        <v/>
      </c>
    </row>
    <row r="362" customFormat="false" ht="15" hidden="false" customHeight="false" outlineLevel="0" collapsed="false">
      <c r="A362" s="19"/>
      <c r="B362" s="20"/>
      <c r="C362" s="5"/>
      <c r="D362" s="5"/>
      <c r="E362" s="21"/>
      <c r="F362" s="22"/>
      <c r="G362" s="22"/>
      <c r="H362" s="22"/>
      <c r="I362" s="15"/>
      <c r="J362" s="19"/>
      <c r="K362" s="20"/>
      <c r="L362" s="20"/>
      <c r="M362" s="23" t="str">
        <f aca="false">IF($B362="","",$F362*$E362)</f>
        <v/>
      </c>
      <c r="N362" s="23" t="str">
        <f aca="false">IF($B362="","",$M362*(1-설정!$B$7))</f>
        <v/>
      </c>
      <c r="O362" s="23" t="str">
        <f aca="false">IF($B362="","",$N362-($G362*$E362+$H362))</f>
        <v/>
      </c>
      <c r="P362" s="24" t="str">
        <f aca="true">IF($B362="","",IF(AND($I362=설정!$A$11,$A362&lt;&gt;"",TODAY()-$A362&gt;=설정!$B$8),"지연!",""))</f>
        <v/>
      </c>
    </row>
    <row r="363" customFormat="false" ht="15" hidden="false" customHeight="false" outlineLevel="0" collapsed="false">
      <c r="A363" s="19"/>
      <c r="B363" s="20"/>
      <c r="C363" s="5"/>
      <c r="D363" s="5"/>
      <c r="E363" s="21"/>
      <c r="F363" s="22"/>
      <c r="G363" s="22"/>
      <c r="H363" s="22"/>
      <c r="I363" s="15"/>
      <c r="J363" s="19"/>
      <c r="K363" s="20"/>
      <c r="L363" s="20"/>
      <c r="M363" s="23" t="str">
        <f aca="false">IF($B363="","",$F363*$E363)</f>
        <v/>
      </c>
      <c r="N363" s="23" t="str">
        <f aca="false">IF($B363="","",$M363*(1-설정!$B$7))</f>
        <v/>
      </c>
      <c r="O363" s="23" t="str">
        <f aca="false">IF($B363="","",$N363-($G363*$E363+$H363))</f>
        <v/>
      </c>
      <c r="P363" s="24" t="str">
        <f aca="true">IF($B363="","",IF(AND($I363=설정!$A$11,$A363&lt;&gt;"",TODAY()-$A363&gt;=설정!$B$8),"지연!",""))</f>
        <v/>
      </c>
    </row>
    <row r="364" customFormat="false" ht="15" hidden="false" customHeight="false" outlineLevel="0" collapsed="false">
      <c r="A364" s="19"/>
      <c r="B364" s="20"/>
      <c r="C364" s="5"/>
      <c r="D364" s="5"/>
      <c r="E364" s="21"/>
      <c r="F364" s="22"/>
      <c r="G364" s="22"/>
      <c r="H364" s="22"/>
      <c r="I364" s="15"/>
      <c r="J364" s="19"/>
      <c r="K364" s="20"/>
      <c r="L364" s="20"/>
      <c r="M364" s="23" t="str">
        <f aca="false">IF($B364="","",$F364*$E364)</f>
        <v/>
      </c>
      <c r="N364" s="23" t="str">
        <f aca="false">IF($B364="","",$M364*(1-설정!$B$7))</f>
        <v/>
      </c>
      <c r="O364" s="23" t="str">
        <f aca="false">IF($B364="","",$N364-($G364*$E364+$H364))</f>
        <v/>
      </c>
      <c r="P364" s="24" t="str">
        <f aca="true">IF($B364="","",IF(AND($I364=설정!$A$11,$A364&lt;&gt;"",TODAY()-$A364&gt;=설정!$B$8),"지연!",""))</f>
        <v/>
      </c>
    </row>
    <row r="365" customFormat="false" ht="15" hidden="false" customHeight="false" outlineLevel="0" collapsed="false">
      <c r="A365" s="19"/>
      <c r="B365" s="20"/>
      <c r="C365" s="5"/>
      <c r="D365" s="5"/>
      <c r="E365" s="21"/>
      <c r="F365" s="22"/>
      <c r="G365" s="22"/>
      <c r="H365" s="22"/>
      <c r="I365" s="15"/>
      <c r="J365" s="19"/>
      <c r="K365" s="20"/>
      <c r="L365" s="20"/>
      <c r="M365" s="23" t="str">
        <f aca="false">IF($B365="","",$F365*$E365)</f>
        <v/>
      </c>
      <c r="N365" s="23" t="str">
        <f aca="false">IF($B365="","",$M365*(1-설정!$B$7))</f>
        <v/>
      </c>
      <c r="O365" s="23" t="str">
        <f aca="false">IF($B365="","",$N365-($G365*$E365+$H365))</f>
        <v/>
      </c>
      <c r="P365" s="24" t="str">
        <f aca="true">IF($B365="","",IF(AND($I365=설정!$A$11,$A365&lt;&gt;"",TODAY()-$A365&gt;=설정!$B$8),"지연!",""))</f>
        <v/>
      </c>
    </row>
    <row r="366" customFormat="false" ht="15" hidden="false" customHeight="false" outlineLevel="0" collapsed="false">
      <c r="A366" s="19"/>
      <c r="B366" s="20"/>
      <c r="C366" s="5"/>
      <c r="D366" s="5"/>
      <c r="E366" s="21"/>
      <c r="F366" s="22"/>
      <c r="G366" s="22"/>
      <c r="H366" s="22"/>
      <c r="I366" s="15"/>
      <c r="J366" s="19"/>
      <c r="K366" s="20"/>
      <c r="L366" s="20"/>
      <c r="M366" s="23" t="str">
        <f aca="false">IF($B366="","",$F366*$E366)</f>
        <v/>
      </c>
      <c r="N366" s="23" t="str">
        <f aca="false">IF($B366="","",$M366*(1-설정!$B$7))</f>
        <v/>
      </c>
      <c r="O366" s="23" t="str">
        <f aca="false">IF($B366="","",$N366-($G366*$E366+$H366))</f>
        <v/>
      </c>
      <c r="P366" s="24" t="str">
        <f aca="true">IF($B366="","",IF(AND($I366=설정!$A$11,$A366&lt;&gt;"",TODAY()-$A366&gt;=설정!$B$8),"지연!",""))</f>
        <v/>
      </c>
    </row>
    <row r="367" customFormat="false" ht="15" hidden="false" customHeight="false" outlineLevel="0" collapsed="false">
      <c r="A367" s="19"/>
      <c r="B367" s="20"/>
      <c r="C367" s="5"/>
      <c r="D367" s="5"/>
      <c r="E367" s="21"/>
      <c r="F367" s="22"/>
      <c r="G367" s="22"/>
      <c r="H367" s="22"/>
      <c r="I367" s="15"/>
      <c r="J367" s="19"/>
      <c r="K367" s="20"/>
      <c r="L367" s="20"/>
      <c r="M367" s="23" t="str">
        <f aca="false">IF($B367="","",$F367*$E367)</f>
        <v/>
      </c>
      <c r="N367" s="23" t="str">
        <f aca="false">IF($B367="","",$M367*(1-설정!$B$7))</f>
        <v/>
      </c>
      <c r="O367" s="23" t="str">
        <f aca="false">IF($B367="","",$N367-($G367*$E367+$H367))</f>
        <v/>
      </c>
      <c r="P367" s="24" t="str">
        <f aca="true">IF($B367="","",IF(AND($I367=설정!$A$11,$A367&lt;&gt;"",TODAY()-$A367&gt;=설정!$B$8),"지연!",""))</f>
        <v/>
      </c>
    </row>
    <row r="368" customFormat="false" ht="15" hidden="false" customHeight="false" outlineLevel="0" collapsed="false">
      <c r="A368" s="19"/>
      <c r="B368" s="20"/>
      <c r="C368" s="5"/>
      <c r="D368" s="5"/>
      <c r="E368" s="21"/>
      <c r="F368" s="22"/>
      <c r="G368" s="22"/>
      <c r="H368" s="22"/>
      <c r="I368" s="15"/>
      <c r="J368" s="19"/>
      <c r="K368" s="20"/>
      <c r="L368" s="20"/>
      <c r="M368" s="23" t="str">
        <f aca="false">IF($B368="","",$F368*$E368)</f>
        <v/>
      </c>
      <c r="N368" s="23" t="str">
        <f aca="false">IF($B368="","",$M368*(1-설정!$B$7))</f>
        <v/>
      </c>
      <c r="O368" s="23" t="str">
        <f aca="false">IF($B368="","",$N368-($G368*$E368+$H368))</f>
        <v/>
      </c>
      <c r="P368" s="24" t="str">
        <f aca="true">IF($B368="","",IF(AND($I368=설정!$A$11,$A368&lt;&gt;"",TODAY()-$A368&gt;=설정!$B$8),"지연!",""))</f>
        <v/>
      </c>
    </row>
    <row r="369" customFormat="false" ht="15" hidden="false" customHeight="false" outlineLevel="0" collapsed="false">
      <c r="A369" s="19"/>
      <c r="B369" s="20"/>
      <c r="C369" s="5"/>
      <c r="D369" s="5"/>
      <c r="E369" s="21"/>
      <c r="F369" s="22"/>
      <c r="G369" s="22"/>
      <c r="H369" s="22"/>
      <c r="I369" s="15"/>
      <c r="J369" s="19"/>
      <c r="K369" s="20"/>
      <c r="L369" s="20"/>
      <c r="M369" s="23" t="str">
        <f aca="false">IF($B369="","",$F369*$E369)</f>
        <v/>
      </c>
      <c r="N369" s="23" t="str">
        <f aca="false">IF($B369="","",$M369*(1-설정!$B$7))</f>
        <v/>
      </c>
      <c r="O369" s="23" t="str">
        <f aca="false">IF($B369="","",$N369-($G369*$E369+$H369))</f>
        <v/>
      </c>
      <c r="P369" s="24" t="str">
        <f aca="true">IF($B369="","",IF(AND($I369=설정!$A$11,$A369&lt;&gt;"",TODAY()-$A369&gt;=설정!$B$8),"지연!",""))</f>
        <v/>
      </c>
    </row>
    <row r="370" customFormat="false" ht="15" hidden="false" customHeight="false" outlineLevel="0" collapsed="false">
      <c r="A370" s="19"/>
      <c r="B370" s="20"/>
      <c r="C370" s="5"/>
      <c r="D370" s="5"/>
      <c r="E370" s="21"/>
      <c r="F370" s="22"/>
      <c r="G370" s="22"/>
      <c r="H370" s="22"/>
      <c r="I370" s="15"/>
      <c r="J370" s="19"/>
      <c r="K370" s="20"/>
      <c r="L370" s="20"/>
      <c r="M370" s="23" t="str">
        <f aca="false">IF($B370="","",$F370*$E370)</f>
        <v/>
      </c>
      <c r="N370" s="23" t="str">
        <f aca="false">IF($B370="","",$M370*(1-설정!$B$7))</f>
        <v/>
      </c>
      <c r="O370" s="23" t="str">
        <f aca="false">IF($B370="","",$N370-($G370*$E370+$H370))</f>
        <v/>
      </c>
      <c r="P370" s="24" t="str">
        <f aca="true">IF($B370="","",IF(AND($I370=설정!$A$11,$A370&lt;&gt;"",TODAY()-$A370&gt;=설정!$B$8),"지연!",""))</f>
        <v/>
      </c>
    </row>
    <row r="371" customFormat="false" ht="15" hidden="false" customHeight="false" outlineLevel="0" collapsed="false">
      <c r="A371" s="19"/>
      <c r="B371" s="20"/>
      <c r="C371" s="5"/>
      <c r="D371" s="5"/>
      <c r="E371" s="21"/>
      <c r="F371" s="22"/>
      <c r="G371" s="22"/>
      <c r="H371" s="22"/>
      <c r="I371" s="15"/>
      <c r="J371" s="19"/>
      <c r="K371" s="20"/>
      <c r="L371" s="20"/>
      <c r="M371" s="23" t="str">
        <f aca="false">IF($B371="","",$F371*$E371)</f>
        <v/>
      </c>
      <c r="N371" s="23" t="str">
        <f aca="false">IF($B371="","",$M371*(1-설정!$B$7))</f>
        <v/>
      </c>
      <c r="O371" s="23" t="str">
        <f aca="false">IF($B371="","",$N371-($G371*$E371+$H371))</f>
        <v/>
      </c>
      <c r="P371" s="24" t="str">
        <f aca="true">IF($B371="","",IF(AND($I371=설정!$A$11,$A371&lt;&gt;"",TODAY()-$A371&gt;=설정!$B$8),"지연!",""))</f>
        <v/>
      </c>
    </row>
    <row r="372" customFormat="false" ht="15" hidden="false" customHeight="false" outlineLevel="0" collapsed="false">
      <c r="A372" s="19"/>
      <c r="B372" s="20"/>
      <c r="C372" s="5"/>
      <c r="D372" s="5"/>
      <c r="E372" s="21"/>
      <c r="F372" s="22"/>
      <c r="G372" s="22"/>
      <c r="H372" s="22"/>
      <c r="I372" s="15"/>
      <c r="J372" s="19"/>
      <c r="K372" s="20"/>
      <c r="L372" s="20"/>
      <c r="M372" s="23" t="str">
        <f aca="false">IF($B372="","",$F372*$E372)</f>
        <v/>
      </c>
      <c r="N372" s="23" t="str">
        <f aca="false">IF($B372="","",$M372*(1-설정!$B$7))</f>
        <v/>
      </c>
      <c r="O372" s="23" t="str">
        <f aca="false">IF($B372="","",$N372-($G372*$E372+$H372))</f>
        <v/>
      </c>
      <c r="P372" s="24" t="str">
        <f aca="true">IF($B372="","",IF(AND($I372=설정!$A$11,$A372&lt;&gt;"",TODAY()-$A372&gt;=설정!$B$8),"지연!",""))</f>
        <v/>
      </c>
    </row>
    <row r="373" customFormat="false" ht="15" hidden="false" customHeight="false" outlineLevel="0" collapsed="false">
      <c r="A373" s="19"/>
      <c r="B373" s="20"/>
      <c r="C373" s="5"/>
      <c r="D373" s="5"/>
      <c r="E373" s="21"/>
      <c r="F373" s="22"/>
      <c r="G373" s="22"/>
      <c r="H373" s="22"/>
      <c r="I373" s="15"/>
      <c r="J373" s="19"/>
      <c r="K373" s="20"/>
      <c r="L373" s="20"/>
      <c r="M373" s="23" t="str">
        <f aca="false">IF($B373="","",$F373*$E373)</f>
        <v/>
      </c>
      <c r="N373" s="23" t="str">
        <f aca="false">IF($B373="","",$M373*(1-설정!$B$7))</f>
        <v/>
      </c>
      <c r="O373" s="23" t="str">
        <f aca="false">IF($B373="","",$N373-($G373*$E373+$H373))</f>
        <v/>
      </c>
      <c r="P373" s="24" t="str">
        <f aca="true">IF($B373="","",IF(AND($I373=설정!$A$11,$A373&lt;&gt;"",TODAY()-$A373&gt;=설정!$B$8),"지연!",""))</f>
        <v/>
      </c>
    </row>
    <row r="374" customFormat="false" ht="15" hidden="false" customHeight="false" outlineLevel="0" collapsed="false">
      <c r="A374" s="19"/>
      <c r="B374" s="20"/>
      <c r="C374" s="5"/>
      <c r="D374" s="5"/>
      <c r="E374" s="21"/>
      <c r="F374" s="22"/>
      <c r="G374" s="22"/>
      <c r="H374" s="22"/>
      <c r="I374" s="15"/>
      <c r="J374" s="19"/>
      <c r="K374" s="20"/>
      <c r="L374" s="20"/>
      <c r="M374" s="23" t="str">
        <f aca="false">IF($B374="","",$F374*$E374)</f>
        <v/>
      </c>
      <c r="N374" s="23" t="str">
        <f aca="false">IF($B374="","",$M374*(1-설정!$B$7))</f>
        <v/>
      </c>
      <c r="O374" s="23" t="str">
        <f aca="false">IF($B374="","",$N374-($G374*$E374+$H374))</f>
        <v/>
      </c>
      <c r="P374" s="24" t="str">
        <f aca="true">IF($B374="","",IF(AND($I374=설정!$A$11,$A374&lt;&gt;"",TODAY()-$A374&gt;=설정!$B$8),"지연!",""))</f>
        <v/>
      </c>
    </row>
    <row r="375" customFormat="false" ht="15" hidden="false" customHeight="false" outlineLevel="0" collapsed="false">
      <c r="A375" s="19"/>
      <c r="B375" s="20"/>
      <c r="C375" s="5"/>
      <c r="D375" s="5"/>
      <c r="E375" s="21"/>
      <c r="F375" s="22"/>
      <c r="G375" s="22"/>
      <c r="H375" s="22"/>
      <c r="I375" s="15"/>
      <c r="J375" s="19"/>
      <c r="K375" s="20"/>
      <c r="L375" s="20"/>
      <c r="M375" s="23" t="str">
        <f aca="false">IF($B375="","",$F375*$E375)</f>
        <v/>
      </c>
      <c r="N375" s="23" t="str">
        <f aca="false">IF($B375="","",$M375*(1-설정!$B$7))</f>
        <v/>
      </c>
      <c r="O375" s="23" t="str">
        <f aca="false">IF($B375="","",$N375-($G375*$E375+$H375))</f>
        <v/>
      </c>
      <c r="P375" s="24" t="str">
        <f aca="true">IF($B375="","",IF(AND($I375=설정!$A$11,$A375&lt;&gt;"",TODAY()-$A375&gt;=설정!$B$8),"지연!",""))</f>
        <v/>
      </c>
    </row>
    <row r="376" customFormat="false" ht="15" hidden="false" customHeight="false" outlineLevel="0" collapsed="false">
      <c r="A376" s="19"/>
      <c r="B376" s="20"/>
      <c r="C376" s="5"/>
      <c r="D376" s="5"/>
      <c r="E376" s="21"/>
      <c r="F376" s="22"/>
      <c r="G376" s="22"/>
      <c r="H376" s="22"/>
      <c r="I376" s="15"/>
      <c r="J376" s="19"/>
      <c r="K376" s="20"/>
      <c r="L376" s="20"/>
      <c r="M376" s="23" t="str">
        <f aca="false">IF($B376="","",$F376*$E376)</f>
        <v/>
      </c>
      <c r="N376" s="23" t="str">
        <f aca="false">IF($B376="","",$M376*(1-설정!$B$7))</f>
        <v/>
      </c>
      <c r="O376" s="23" t="str">
        <f aca="false">IF($B376="","",$N376-($G376*$E376+$H376))</f>
        <v/>
      </c>
      <c r="P376" s="24" t="str">
        <f aca="true">IF($B376="","",IF(AND($I376=설정!$A$11,$A376&lt;&gt;"",TODAY()-$A376&gt;=설정!$B$8),"지연!",""))</f>
        <v/>
      </c>
    </row>
    <row r="377" customFormat="false" ht="15" hidden="false" customHeight="false" outlineLevel="0" collapsed="false">
      <c r="A377" s="19"/>
      <c r="B377" s="20"/>
      <c r="C377" s="5"/>
      <c r="D377" s="5"/>
      <c r="E377" s="21"/>
      <c r="F377" s="22"/>
      <c r="G377" s="22"/>
      <c r="H377" s="22"/>
      <c r="I377" s="15"/>
      <c r="J377" s="19"/>
      <c r="K377" s="20"/>
      <c r="L377" s="20"/>
      <c r="M377" s="23" t="str">
        <f aca="false">IF($B377="","",$F377*$E377)</f>
        <v/>
      </c>
      <c r="N377" s="23" t="str">
        <f aca="false">IF($B377="","",$M377*(1-설정!$B$7))</f>
        <v/>
      </c>
      <c r="O377" s="23" t="str">
        <f aca="false">IF($B377="","",$N377-($G377*$E377+$H377))</f>
        <v/>
      </c>
      <c r="P377" s="24" t="str">
        <f aca="true">IF($B377="","",IF(AND($I377=설정!$A$11,$A377&lt;&gt;"",TODAY()-$A377&gt;=설정!$B$8),"지연!",""))</f>
        <v/>
      </c>
    </row>
    <row r="378" customFormat="false" ht="15" hidden="false" customHeight="false" outlineLevel="0" collapsed="false">
      <c r="A378" s="19"/>
      <c r="B378" s="20"/>
      <c r="C378" s="5"/>
      <c r="D378" s="5"/>
      <c r="E378" s="21"/>
      <c r="F378" s="22"/>
      <c r="G378" s="22"/>
      <c r="H378" s="22"/>
      <c r="I378" s="15"/>
      <c r="J378" s="19"/>
      <c r="K378" s="20"/>
      <c r="L378" s="20"/>
      <c r="M378" s="23" t="str">
        <f aca="false">IF($B378="","",$F378*$E378)</f>
        <v/>
      </c>
      <c r="N378" s="23" t="str">
        <f aca="false">IF($B378="","",$M378*(1-설정!$B$7))</f>
        <v/>
      </c>
      <c r="O378" s="23" t="str">
        <f aca="false">IF($B378="","",$N378-($G378*$E378+$H378))</f>
        <v/>
      </c>
      <c r="P378" s="24" t="str">
        <f aca="true">IF($B378="","",IF(AND($I378=설정!$A$11,$A378&lt;&gt;"",TODAY()-$A378&gt;=설정!$B$8),"지연!",""))</f>
        <v/>
      </c>
    </row>
    <row r="379" customFormat="false" ht="15" hidden="false" customHeight="false" outlineLevel="0" collapsed="false">
      <c r="A379" s="19"/>
      <c r="B379" s="20"/>
      <c r="C379" s="5"/>
      <c r="D379" s="5"/>
      <c r="E379" s="21"/>
      <c r="F379" s="22"/>
      <c r="G379" s="22"/>
      <c r="H379" s="22"/>
      <c r="I379" s="15"/>
      <c r="J379" s="19"/>
      <c r="K379" s="20"/>
      <c r="L379" s="20"/>
      <c r="M379" s="23" t="str">
        <f aca="false">IF($B379="","",$F379*$E379)</f>
        <v/>
      </c>
      <c r="N379" s="23" t="str">
        <f aca="false">IF($B379="","",$M379*(1-설정!$B$7))</f>
        <v/>
      </c>
      <c r="O379" s="23" t="str">
        <f aca="false">IF($B379="","",$N379-($G379*$E379+$H379))</f>
        <v/>
      </c>
      <c r="P379" s="24" t="str">
        <f aca="true">IF($B379="","",IF(AND($I379=설정!$A$11,$A379&lt;&gt;"",TODAY()-$A379&gt;=설정!$B$8),"지연!",""))</f>
        <v/>
      </c>
    </row>
    <row r="380" customFormat="false" ht="15" hidden="false" customHeight="false" outlineLevel="0" collapsed="false">
      <c r="A380" s="19"/>
      <c r="B380" s="20"/>
      <c r="C380" s="5"/>
      <c r="D380" s="5"/>
      <c r="E380" s="21"/>
      <c r="F380" s="22"/>
      <c r="G380" s="22"/>
      <c r="H380" s="22"/>
      <c r="I380" s="15"/>
      <c r="J380" s="19"/>
      <c r="K380" s="20"/>
      <c r="L380" s="20"/>
      <c r="M380" s="23" t="str">
        <f aca="false">IF($B380="","",$F380*$E380)</f>
        <v/>
      </c>
      <c r="N380" s="23" t="str">
        <f aca="false">IF($B380="","",$M380*(1-설정!$B$7))</f>
        <v/>
      </c>
      <c r="O380" s="23" t="str">
        <f aca="false">IF($B380="","",$N380-($G380*$E380+$H380))</f>
        <v/>
      </c>
      <c r="P380" s="24" t="str">
        <f aca="true">IF($B380="","",IF(AND($I380=설정!$A$11,$A380&lt;&gt;"",TODAY()-$A380&gt;=설정!$B$8),"지연!",""))</f>
        <v/>
      </c>
    </row>
    <row r="381" customFormat="false" ht="15" hidden="false" customHeight="false" outlineLevel="0" collapsed="false">
      <c r="A381" s="19"/>
      <c r="B381" s="20"/>
      <c r="C381" s="5"/>
      <c r="D381" s="5"/>
      <c r="E381" s="21"/>
      <c r="F381" s="22"/>
      <c r="G381" s="22"/>
      <c r="H381" s="22"/>
      <c r="I381" s="15"/>
      <c r="J381" s="19"/>
      <c r="K381" s="20"/>
      <c r="L381" s="20"/>
      <c r="M381" s="23" t="str">
        <f aca="false">IF($B381="","",$F381*$E381)</f>
        <v/>
      </c>
      <c r="N381" s="23" t="str">
        <f aca="false">IF($B381="","",$M381*(1-설정!$B$7))</f>
        <v/>
      </c>
      <c r="O381" s="23" t="str">
        <f aca="false">IF($B381="","",$N381-($G381*$E381+$H381))</f>
        <v/>
      </c>
      <c r="P381" s="24" t="str">
        <f aca="true">IF($B381="","",IF(AND($I381=설정!$A$11,$A381&lt;&gt;"",TODAY()-$A381&gt;=설정!$B$8),"지연!",""))</f>
        <v/>
      </c>
    </row>
    <row r="382" customFormat="false" ht="15" hidden="false" customHeight="false" outlineLevel="0" collapsed="false">
      <c r="A382" s="19"/>
      <c r="B382" s="20"/>
      <c r="C382" s="5"/>
      <c r="D382" s="5"/>
      <c r="E382" s="21"/>
      <c r="F382" s="22"/>
      <c r="G382" s="22"/>
      <c r="H382" s="22"/>
      <c r="I382" s="15"/>
      <c r="J382" s="19"/>
      <c r="K382" s="20"/>
      <c r="L382" s="20"/>
      <c r="M382" s="23" t="str">
        <f aca="false">IF($B382="","",$F382*$E382)</f>
        <v/>
      </c>
      <c r="N382" s="23" t="str">
        <f aca="false">IF($B382="","",$M382*(1-설정!$B$7))</f>
        <v/>
      </c>
      <c r="O382" s="23" t="str">
        <f aca="false">IF($B382="","",$N382-($G382*$E382+$H382))</f>
        <v/>
      </c>
      <c r="P382" s="24" t="str">
        <f aca="true">IF($B382="","",IF(AND($I382=설정!$A$11,$A382&lt;&gt;"",TODAY()-$A382&gt;=설정!$B$8),"지연!",""))</f>
        <v/>
      </c>
    </row>
    <row r="383" customFormat="false" ht="15" hidden="false" customHeight="false" outlineLevel="0" collapsed="false">
      <c r="A383" s="19"/>
      <c r="B383" s="20"/>
      <c r="C383" s="5"/>
      <c r="D383" s="5"/>
      <c r="E383" s="21"/>
      <c r="F383" s="22"/>
      <c r="G383" s="22"/>
      <c r="H383" s="22"/>
      <c r="I383" s="15"/>
      <c r="J383" s="19"/>
      <c r="K383" s="20"/>
      <c r="L383" s="20"/>
      <c r="M383" s="23" t="str">
        <f aca="false">IF($B383="","",$F383*$E383)</f>
        <v/>
      </c>
      <c r="N383" s="23" t="str">
        <f aca="false">IF($B383="","",$M383*(1-설정!$B$7))</f>
        <v/>
      </c>
      <c r="O383" s="23" t="str">
        <f aca="false">IF($B383="","",$N383-($G383*$E383+$H383))</f>
        <v/>
      </c>
      <c r="P383" s="24" t="str">
        <f aca="true">IF($B383="","",IF(AND($I383=설정!$A$11,$A383&lt;&gt;"",TODAY()-$A383&gt;=설정!$B$8),"지연!",""))</f>
        <v/>
      </c>
    </row>
    <row r="384" customFormat="false" ht="15" hidden="false" customHeight="false" outlineLevel="0" collapsed="false">
      <c r="A384" s="19"/>
      <c r="B384" s="20"/>
      <c r="C384" s="5"/>
      <c r="D384" s="5"/>
      <c r="E384" s="21"/>
      <c r="F384" s="22"/>
      <c r="G384" s="22"/>
      <c r="H384" s="22"/>
      <c r="I384" s="15"/>
      <c r="J384" s="19"/>
      <c r="K384" s="20"/>
      <c r="L384" s="20"/>
      <c r="M384" s="23" t="str">
        <f aca="false">IF($B384="","",$F384*$E384)</f>
        <v/>
      </c>
      <c r="N384" s="23" t="str">
        <f aca="false">IF($B384="","",$M384*(1-설정!$B$7))</f>
        <v/>
      </c>
      <c r="O384" s="23" t="str">
        <f aca="false">IF($B384="","",$N384-($G384*$E384+$H384))</f>
        <v/>
      </c>
      <c r="P384" s="24" t="str">
        <f aca="true">IF($B384="","",IF(AND($I384=설정!$A$11,$A384&lt;&gt;"",TODAY()-$A384&gt;=설정!$B$8),"지연!",""))</f>
        <v/>
      </c>
    </row>
    <row r="385" customFormat="false" ht="15" hidden="false" customHeight="false" outlineLevel="0" collapsed="false">
      <c r="A385" s="19"/>
      <c r="B385" s="20"/>
      <c r="C385" s="5"/>
      <c r="D385" s="5"/>
      <c r="E385" s="21"/>
      <c r="F385" s="22"/>
      <c r="G385" s="22"/>
      <c r="H385" s="22"/>
      <c r="I385" s="15"/>
      <c r="J385" s="19"/>
      <c r="K385" s="20"/>
      <c r="L385" s="20"/>
      <c r="M385" s="23" t="str">
        <f aca="false">IF($B385="","",$F385*$E385)</f>
        <v/>
      </c>
      <c r="N385" s="23" t="str">
        <f aca="false">IF($B385="","",$M385*(1-설정!$B$7))</f>
        <v/>
      </c>
      <c r="O385" s="23" t="str">
        <f aca="false">IF($B385="","",$N385-($G385*$E385+$H385))</f>
        <v/>
      </c>
      <c r="P385" s="24" t="str">
        <f aca="true">IF($B385="","",IF(AND($I385=설정!$A$11,$A385&lt;&gt;"",TODAY()-$A385&gt;=설정!$B$8),"지연!",""))</f>
        <v/>
      </c>
    </row>
    <row r="386" customFormat="false" ht="15" hidden="false" customHeight="false" outlineLevel="0" collapsed="false">
      <c r="A386" s="19"/>
      <c r="B386" s="20"/>
      <c r="C386" s="5"/>
      <c r="D386" s="5"/>
      <c r="E386" s="21"/>
      <c r="F386" s="22"/>
      <c r="G386" s="22"/>
      <c r="H386" s="22"/>
      <c r="I386" s="15"/>
      <c r="J386" s="19"/>
      <c r="K386" s="20"/>
      <c r="L386" s="20"/>
      <c r="M386" s="23" t="str">
        <f aca="false">IF($B386="","",$F386*$E386)</f>
        <v/>
      </c>
      <c r="N386" s="23" t="str">
        <f aca="false">IF($B386="","",$M386*(1-설정!$B$7))</f>
        <v/>
      </c>
      <c r="O386" s="23" t="str">
        <f aca="false">IF($B386="","",$N386-($G386*$E386+$H386))</f>
        <v/>
      </c>
      <c r="P386" s="24" t="str">
        <f aca="true">IF($B386="","",IF(AND($I386=설정!$A$11,$A386&lt;&gt;"",TODAY()-$A386&gt;=설정!$B$8),"지연!",""))</f>
        <v/>
      </c>
    </row>
    <row r="387" customFormat="false" ht="15" hidden="false" customHeight="false" outlineLevel="0" collapsed="false">
      <c r="A387" s="19"/>
      <c r="B387" s="20"/>
      <c r="C387" s="5"/>
      <c r="D387" s="5"/>
      <c r="E387" s="21"/>
      <c r="F387" s="22"/>
      <c r="G387" s="22"/>
      <c r="H387" s="22"/>
      <c r="I387" s="15"/>
      <c r="J387" s="19"/>
      <c r="K387" s="20"/>
      <c r="L387" s="20"/>
      <c r="M387" s="23" t="str">
        <f aca="false">IF($B387="","",$F387*$E387)</f>
        <v/>
      </c>
      <c r="N387" s="23" t="str">
        <f aca="false">IF($B387="","",$M387*(1-설정!$B$7))</f>
        <v/>
      </c>
      <c r="O387" s="23" t="str">
        <f aca="false">IF($B387="","",$N387-($G387*$E387+$H387))</f>
        <v/>
      </c>
      <c r="P387" s="24" t="str">
        <f aca="true">IF($B387="","",IF(AND($I387=설정!$A$11,$A387&lt;&gt;"",TODAY()-$A387&gt;=설정!$B$8),"지연!",""))</f>
        <v/>
      </c>
    </row>
    <row r="388" customFormat="false" ht="15" hidden="false" customHeight="false" outlineLevel="0" collapsed="false">
      <c r="A388" s="19"/>
      <c r="B388" s="20"/>
      <c r="C388" s="5"/>
      <c r="D388" s="5"/>
      <c r="E388" s="21"/>
      <c r="F388" s="22"/>
      <c r="G388" s="22"/>
      <c r="H388" s="22"/>
      <c r="I388" s="15"/>
      <c r="J388" s="19"/>
      <c r="K388" s="20"/>
      <c r="L388" s="20"/>
      <c r="M388" s="23" t="str">
        <f aca="false">IF($B388="","",$F388*$E388)</f>
        <v/>
      </c>
      <c r="N388" s="23" t="str">
        <f aca="false">IF($B388="","",$M388*(1-설정!$B$7))</f>
        <v/>
      </c>
      <c r="O388" s="23" t="str">
        <f aca="false">IF($B388="","",$N388-($G388*$E388+$H388))</f>
        <v/>
      </c>
      <c r="P388" s="24" t="str">
        <f aca="true">IF($B388="","",IF(AND($I388=설정!$A$11,$A388&lt;&gt;"",TODAY()-$A388&gt;=설정!$B$8),"지연!",""))</f>
        <v/>
      </c>
    </row>
    <row r="389" customFormat="false" ht="15" hidden="false" customHeight="false" outlineLevel="0" collapsed="false">
      <c r="A389" s="19"/>
      <c r="B389" s="20"/>
      <c r="C389" s="5"/>
      <c r="D389" s="5"/>
      <c r="E389" s="21"/>
      <c r="F389" s="22"/>
      <c r="G389" s="22"/>
      <c r="H389" s="22"/>
      <c r="I389" s="15"/>
      <c r="J389" s="19"/>
      <c r="K389" s="20"/>
      <c r="L389" s="20"/>
      <c r="M389" s="23" t="str">
        <f aca="false">IF($B389="","",$F389*$E389)</f>
        <v/>
      </c>
      <c r="N389" s="23" t="str">
        <f aca="false">IF($B389="","",$M389*(1-설정!$B$7))</f>
        <v/>
      </c>
      <c r="O389" s="23" t="str">
        <f aca="false">IF($B389="","",$N389-($G389*$E389+$H389))</f>
        <v/>
      </c>
      <c r="P389" s="24" t="str">
        <f aca="true">IF($B389="","",IF(AND($I389=설정!$A$11,$A389&lt;&gt;"",TODAY()-$A389&gt;=설정!$B$8),"지연!",""))</f>
        <v/>
      </c>
    </row>
    <row r="390" customFormat="false" ht="15" hidden="false" customHeight="false" outlineLevel="0" collapsed="false">
      <c r="A390" s="19"/>
      <c r="B390" s="20"/>
      <c r="C390" s="5"/>
      <c r="D390" s="5"/>
      <c r="E390" s="21"/>
      <c r="F390" s="22"/>
      <c r="G390" s="22"/>
      <c r="H390" s="22"/>
      <c r="I390" s="15"/>
      <c r="J390" s="19"/>
      <c r="K390" s="20"/>
      <c r="L390" s="20"/>
      <c r="M390" s="23" t="str">
        <f aca="false">IF($B390="","",$F390*$E390)</f>
        <v/>
      </c>
      <c r="N390" s="23" t="str">
        <f aca="false">IF($B390="","",$M390*(1-설정!$B$7))</f>
        <v/>
      </c>
      <c r="O390" s="23" t="str">
        <f aca="false">IF($B390="","",$N390-($G390*$E390+$H390))</f>
        <v/>
      </c>
      <c r="P390" s="24" t="str">
        <f aca="true">IF($B390="","",IF(AND($I390=설정!$A$11,$A390&lt;&gt;"",TODAY()-$A390&gt;=설정!$B$8),"지연!",""))</f>
        <v/>
      </c>
    </row>
    <row r="391" customFormat="false" ht="15" hidden="false" customHeight="false" outlineLevel="0" collapsed="false">
      <c r="A391" s="19"/>
      <c r="B391" s="20"/>
      <c r="C391" s="5"/>
      <c r="D391" s="5"/>
      <c r="E391" s="21"/>
      <c r="F391" s="22"/>
      <c r="G391" s="22"/>
      <c r="H391" s="22"/>
      <c r="I391" s="15"/>
      <c r="J391" s="19"/>
      <c r="K391" s="20"/>
      <c r="L391" s="20"/>
      <c r="M391" s="23" t="str">
        <f aca="false">IF($B391="","",$F391*$E391)</f>
        <v/>
      </c>
      <c r="N391" s="23" t="str">
        <f aca="false">IF($B391="","",$M391*(1-설정!$B$7))</f>
        <v/>
      </c>
      <c r="O391" s="23" t="str">
        <f aca="false">IF($B391="","",$N391-($G391*$E391+$H391))</f>
        <v/>
      </c>
      <c r="P391" s="24" t="str">
        <f aca="true">IF($B391="","",IF(AND($I391=설정!$A$11,$A391&lt;&gt;"",TODAY()-$A391&gt;=설정!$B$8),"지연!",""))</f>
        <v/>
      </c>
    </row>
    <row r="392" customFormat="false" ht="15" hidden="false" customHeight="false" outlineLevel="0" collapsed="false">
      <c r="A392" s="19"/>
      <c r="B392" s="20"/>
      <c r="C392" s="5"/>
      <c r="D392" s="5"/>
      <c r="E392" s="21"/>
      <c r="F392" s="22"/>
      <c r="G392" s="22"/>
      <c r="H392" s="22"/>
      <c r="I392" s="15"/>
      <c r="J392" s="19"/>
      <c r="K392" s="20"/>
      <c r="L392" s="20"/>
      <c r="M392" s="23" t="str">
        <f aca="false">IF($B392="","",$F392*$E392)</f>
        <v/>
      </c>
      <c r="N392" s="23" t="str">
        <f aca="false">IF($B392="","",$M392*(1-설정!$B$7))</f>
        <v/>
      </c>
      <c r="O392" s="23" t="str">
        <f aca="false">IF($B392="","",$N392-($G392*$E392+$H392))</f>
        <v/>
      </c>
      <c r="P392" s="24" t="str">
        <f aca="true">IF($B392="","",IF(AND($I392=설정!$A$11,$A392&lt;&gt;"",TODAY()-$A392&gt;=설정!$B$8),"지연!",""))</f>
        <v/>
      </c>
    </row>
    <row r="393" customFormat="false" ht="15" hidden="false" customHeight="false" outlineLevel="0" collapsed="false">
      <c r="A393" s="19"/>
      <c r="B393" s="20"/>
      <c r="C393" s="5"/>
      <c r="D393" s="5"/>
      <c r="E393" s="21"/>
      <c r="F393" s="22"/>
      <c r="G393" s="22"/>
      <c r="H393" s="22"/>
      <c r="I393" s="15"/>
      <c r="J393" s="19"/>
      <c r="K393" s="20"/>
      <c r="L393" s="20"/>
      <c r="M393" s="23" t="str">
        <f aca="false">IF($B393="","",$F393*$E393)</f>
        <v/>
      </c>
      <c r="N393" s="23" t="str">
        <f aca="false">IF($B393="","",$M393*(1-설정!$B$7))</f>
        <v/>
      </c>
      <c r="O393" s="23" t="str">
        <f aca="false">IF($B393="","",$N393-($G393*$E393+$H393))</f>
        <v/>
      </c>
      <c r="P393" s="24" t="str">
        <f aca="true">IF($B393="","",IF(AND($I393=설정!$A$11,$A393&lt;&gt;"",TODAY()-$A393&gt;=설정!$B$8),"지연!",""))</f>
        <v/>
      </c>
    </row>
    <row r="394" customFormat="false" ht="15" hidden="false" customHeight="false" outlineLevel="0" collapsed="false">
      <c r="A394" s="19"/>
      <c r="B394" s="20"/>
      <c r="C394" s="5"/>
      <c r="D394" s="5"/>
      <c r="E394" s="21"/>
      <c r="F394" s="22"/>
      <c r="G394" s="22"/>
      <c r="H394" s="22"/>
      <c r="I394" s="15"/>
      <c r="J394" s="19"/>
      <c r="K394" s="20"/>
      <c r="L394" s="20"/>
      <c r="M394" s="23" t="str">
        <f aca="false">IF($B394="","",$F394*$E394)</f>
        <v/>
      </c>
      <c r="N394" s="23" t="str">
        <f aca="false">IF($B394="","",$M394*(1-설정!$B$7))</f>
        <v/>
      </c>
      <c r="O394" s="23" t="str">
        <f aca="false">IF($B394="","",$N394-($G394*$E394+$H394))</f>
        <v/>
      </c>
      <c r="P394" s="24" t="str">
        <f aca="true">IF($B394="","",IF(AND($I394=설정!$A$11,$A394&lt;&gt;"",TODAY()-$A394&gt;=설정!$B$8),"지연!",""))</f>
        <v/>
      </c>
    </row>
    <row r="395" customFormat="false" ht="15" hidden="false" customHeight="false" outlineLevel="0" collapsed="false">
      <c r="A395" s="19"/>
      <c r="B395" s="20"/>
      <c r="C395" s="5"/>
      <c r="D395" s="5"/>
      <c r="E395" s="21"/>
      <c r="F395" s="22"/>
      <c r="G395" s="22"/>
      <c r="H395" s="22"/>
      <c r="I395" s="15"/>
      <c r="J395" s="19"/>
      <c r="K395" s="20"/>
      <c r="L395" s="20"/>
      <c r="M395" s="23" t="str">
        <f aca="false">IF($B395="","",$F395*$E395)</f>
        <v/>
      </c>
      <c r="N395" s="23" t="str">
        <f aca="false">IF($B395="","",$M395*(1-설정!$B$7))</f>
        <v/>
      </c>
      <c r="O395" s="23" t="str">
        <f aca="false">IF($B395="","",$N395-($G395*$E395+$H395))</f>
        <v/>
      </c>
      <c r="P395" s="24" t="str">
        <f aca="true">IF($B395="","",IF(AND($I395=설정!$A$11,$A395&lt;&gt;"",TODAY()-$A395&gt;=설정!$B$8),"지연!",""))</f>
        <v/>
      </c>
    </row>
    <row r="396" customFormat="false" ht="15" hidden="false" customHeight="false" outlineLevel="0" collapsed="false">
      <c r="A396" s="19"/>
      <c r="B396" s="20"/>
      <c r="C396" s="5"/>
      <c r="D396" s="5"/>
      <c r="E396" s="21"/>
      <c r="F396" s="22"/>
      <c r="G396" s="22"/>
      <c r="H396" s="22"/>
      <c r="I396" s="15"/>
      <c r="J396" s="19"/>
      <c r="K396" s="20"/>
      <c r="L396" s="20"/>
      <c r="M396" s="23" t="str">
        <f aca="false">IF($B396="","",$F396*$E396)</f>
        <v/>
      </c>
      <c r="N396" s="23" t="str">
        <f aca="false">IF($B396="","",$M396*(1-설정!$B$7))</f>
        <v/>
      </c>
      <c r="O396" s="23" t="str">
        <f aca="false">IF($B396="","",$N396-($G396*$E396+$H396))</f>
        <v/>
      </c>
      <c r="P396" s="24" t="str">
        <f aca="true">IF($B396="","",IF(AND($I396=설정!$A$11,$A396&lt;&gt;"",TODAY()-$A396&gt;=설정!$B$8),"지연!",""))</f>
        <v/>
      </c>
    </row>
    <row r="397" customFormat="false" ht="15" hidden="false" customHeight="false" outlineLevel="0" collapsed="false">
      <c r="A397" s="19"/>
      <c r="B397" s="20"/>
      <c r="C397" s="5"/>
      <c r="D397" s="5"/>
      <c r="E397" s="21"/>
      <c r="F397" s="22"/>
      <c r="G397" s="22"/>
      <c r="H397" s="22"/>
      <c r="I397" s="15"/>
      <c r="J397" s="19"/>
      <c r="K397" s="20"/>
      <c r="L397" s="20"/>
      <c r="M397" s="23" t="str">
        <f aca="false">IF($B397="","",$F397*$E397)</f>
        <v/>
      </c>
      <c r="N397" s="23" t="str">
        <f aca="false">IF($B397="","",$M397*(1-설정!$B$7))</f>
        <v/>
      </c>
      <c r="O397" s="23" t="str">
        <f aca="false">IF($B397="","",$N397-($G397*$E397+$H397))</f>
        <v/>
      </c>
      <c r="P397" s="24" t="str">
        <f aca="true">IF($B397="","",IF(AND($I397=설정!$A$11,$A397&lt;&gt;"",TODAY()-$A397&gt;=설정!$B$8),"지연!",""))</f>
        <v/>
      </c>
    </row>
    <row r="398" customFormat="false" ht="15" hidden="false" customHeight="false" outlineLevel="0" collapsed="false">
      <c r="A398" s="19"/>
      <c r="B398" s="20"/>
      <c r="C398" s="5"/>
      <c r="D398" s="5"/>
      <c r="E398" s="21"/>
      <c r="F398" s="22"/>
      <c r="G398" s="22"/>
      <c r="H398" s="22"/>
      <c r="I398" s="15"/>
      <c r="J398" s="19"/>
      <c r="K398" s="20"/>
      <c r="L398" s="20"/>
      <c r="M398" s="23" t="str">
        <f aca="false">IF($B398="","",$F398*$E398)</f>
        <v/>
      </c>
      <c r="N398" s="23" t="str">
        <f aca="false">IF($B398="","",$M398*(1-설정!$B$7))</f>
        <v/>
      </c>
      <c r="O398" s="23" t="str">
        <f aca="false">IF($B398="","",$N398-($G398*$E398+$H398))</f>
        <v/>
      </c>
      <c r="P398" s="24" t="str">
        <f aca="true">IF($B398="","",IF(AND($I398=설정!$A$11,$A398&lt;&gt;"",TODAY()-$A398&gt;=설정!$B$8),"지연!",""))</f>
        <v/>
      </c>
    </row>
    <row r="399" customFormat="false" ht="15" hidden="false" customHeight="false" outlineLevel="0" collapsed="false">
      <c r="A399" s="19"/>
      <c r="B399" s="20"/>
      <c r="C399" s="5"/>
      <c r="D399" s="5"/>
      <c r="E399" s="21"/>
      <c r="F399" s="22"/>
      <c r="G399" s="22"/>
      <c r="H399" s="22"/>
      <c r="I399" s="15"/>
      <c r="J399" s="19"/>
      <c r="K399" s="20"/>
      <c r="L399" s="20"/>
      <c r="M399" s="23" t="str">
        <f aca="false">IF($B399="","",$F399*$E399)</f>
        <v/>
      </c>
      <c r="N399" s="23" t="str">
        <f aca="false">IF($B399="","",$M399*(1-설정!$B$7))</f>
        <v/>
      </c>
      <c r="O399" s="23" t="str">
        <f aca="false">IF($B399="","",$N399-($G399*$E399+$H399))</f>
        <v/>
      </c>
      <c r="P399" s="24" t="str">
        <f aca="true">IF($B399="","",IF(AND($I399=설정!$A$11,$A399&lt;&gt;"",TODAY()-$A399&gt;=설정!$B$8),"지연!",""))</f>
        <v/>
      </c>
    </row>
    <row r="400" customFormat="false" ht="15" hidden="false" customHeight="false" outlineLevel="0" collapsed="false">
      <c r="A400" s="19"/>
      <c r="B400" s="20"/>
      <c r="C400" s="5"/>
      <c r="D400" s="5"/>
      <c r="E400" s="21"/>
      <c r="F400" s="22"/>
      <c r="G400" s="22"/>
      <c r="H400" s="22"/>
      <c r="I400" s="15"/>
      <c r="J400" s="19"/>
      <c r="K400" s="20"/>
      <c r="L400" s="20"/>
      <c r="M400" s="23" t="str">
        <f aca="false">IF($B400="","",$F400*$E400)</f>
        <v/>
      </c>
      <c r="N400" s="23" t="str">
        <f aca="false">IF($B400="","",$M400*(1-설정!$B$7))</f>
        <v/>
      </c>
      <c r="O400" s="23" t="str">
        <f aca="false">IF($B400="","",$N400-($G400*$E400+$H400))</f>
        <v/>
      </c>
      <c r="P400" s="24" t="str">
        <f aca="true">IF($B400="","",IF(AND($I400=설정!$A$11,$A400&lt;&gt;"",TODAY()-$A400&gt;=설정!$B$8),"지연!",""))</f>
        <v/>
      </c>
    </row>
    <row r="401" customFormat="false" ht="15" hidden="false" customHeight="false" outlineLevel="0" collapsed="false">
      <c r="A401" s="19"/>
      <c r="B401" s="20"/>
      <c r="C401" s="5"/>
      <c r="D401" s="5"/>
      <c r="E401" s="21"/>
      <c r="F401" s="22"/>
      <c r="G401" s="22"/>
      <c r="H401" s="22"/>
      <c r="I401" s="15"/>
      <c r="J401" s="19"/>
      <c r="K401" s="20"/>
      <c r="L401" s="20"/>
      <c r="M401" s="23" t="str">
        <f aca="false">IF($B401="","",$F401*$E401)</f>
        <v/>
      </c>
      <c r="N401" s="23" t="str">
        <f aca="false">IF($B401="","",$M401*(1-설정!$B$7))</f>
        <v/>
      </c>
      <c r="O401" s="23" t="str">
        <f aca="false">IF($B401="","",$N401-($G401*$E401+$H401))</f>
        <v/>
      </c>
      <c r="P401" s="24" t="str">
        <f aca="true">IF($B401="","",IF(AND($I401=설정!$A$11,$A401&lt;&gt;"",TODAY()-$A401&gt;=설정!$B$8),"지연!",""))</f>
        <v/>
      </c>
    </row>
    <row r="402" customFormat="false" ht="15" hidden="false" customHeight="false" outlineLevel="0" collapsed="false">
      <c r="A402" s="19"/>
      <c r="B402" s="20"/>
      <c r="C402" s="5"/>
      <c r="D402" s="5"/>
      <c r="E402" s="21"/>
      <c r="F402" s="22"/>
      <c r="G402" s="22"/>
      <c r="H402" s="22"/>
      <c r="I402" s="15"/>
      <c r="J402" s="19"/>
      <c r="K402" s="20"/>
      <c r="L402" s="20"/>
      <c r="M402" s="23" t="str">
        <f aca="false">IF($B402="","",$F402*$E402)</f>
        <v/>
      </c>
      <c r="N402" s="23" t="str">
        <f aca="false">IF($B402="","",$M402*(1-설정!$B$7))</f>
        <v/>
      </c>
      <c r="O402" s="23" t="str">
        <f aca="false">IF($B402="","",$N402-($G402*$E402+$H402))</f>
        <v/>
      </c>
      <c r="P402" s="24" t="str">
        <f aca="true">IF($B402="","",IF(AND($I402=설정!$A$11,$A402&lt;&gt;"",TODAY()-$A402&gt;=설정!$B$8),"지연!",""))</f>
        <v/>
      </c>
    </row>
    <row r="403" customFormat="false" ht="15" hidden="false" customHeight="false" outlineLevel="0" collapsed="false">
      <c r="A403" s="19"/>
      <c r="B403" s="20"/>
      <c r="C403" s="5"/>
      <c r="D403" s="5"/>
      <c r="E403" s="21"/>
      <c r="F403" s="22"/>
      <c r="G403" s="22"/>
      <c r="H403" s="22"/>
      <c r="I403" s="15"/>
      <c r="J403" s="19"/>
      <c r="K403" s="20"/>
      <c r="L403" s="20"/>
      <c r="M403" s="23" t="str">
        <f aca="false">IF($B403="","",$F403*$E403)</f>
        <v/>
      </c>
      <c r="N403" s="23" t="str">
        <f aca="false">IF($B403="","",$M403*(1-설정!$B$7))</f>
        <v/>
      </c>
      <c r="O403" s="23" t="str">
        <f aca="false">IF($B403="","",$N403-($G403*$E403+$H403))</f>
        <v/>
      </c>
      <c r="P403" s="24" t="str">
        <f aca="true">IF($B403="","",IF(AND($I403=설정!$A$11,$A403&lt;&gt;"",TODAY()-$A403&gt;=설정!$B$8),"지연!",""))</f>
        <v/>
      </c>
    </row>
  </sheetData>
  <dataValidations count="1">
    <dataValidation allowBlank="true" error="설정 시트의 상태 목록에 있는 값만 고를 수 있습니다." errorStyle="stop" errorTitle="상태 확인" operator="between" prompt="신규 → 발주완료 → 배송중 → 구매확정" promptTitle="상태" showDropDown="false" showErrorMessage="false" showInputMessage="false" sqref="I4:I403" type="list">
      <formula1>상태목록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5" min="3" style="0" width="17"/>
    <col collapsed="false" customWidth="true" hidden="false" outlineLevel="0" max="6" min="6" style="0" width="60"/>
  </cols>
  <sheetData>
    <row r="1" customFormat="false" ht="18.5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5" t="s">
        <v>97</v>
      </c>
    </row>
    <row r="4" customFormat="false" ht="15" hidden="false" customHeight="false" outlineLevel="0" collapsed="false">
      <c r="A4" s="26" t="s">
        <v>98</v>
      </c>
    </row>
    <row r="5" customFormat="false" ht="15" hidden="false" customHeight="false" outlineLevel="0" collapsed="false">
      <c r="A5" s="11" t="s">
        <v>81</v>
      </c>
      <c r="B5" s="11" t="s">
        <v>99</v>
      </c>
      <c r="C5" s="11" t="s">
        <v>100</v>
      </c>
    </row>
    <row r="6" customFormat="false" ht="15" hidden="false" customHeight="false" outlineLevel="0" collapsed="false">
      <c r="A6" s="7" t="str">
        <f aca="false">설정!$A$11</f>
        <v>신규</v>
      </c>
      <c r="B6" s="27" t="n">
        <f aca="false">COUNTIF(주문트래커!$I$4:$I$403,$A6)</f>
        <v>1</v>
      </c>
      <c r="C6" s="23" t="n">
        <f aca="false">SUMIFS(주문트래커!$M$4:$M$403,주문트래커!$I$4:$I$403,$A6)</f>
        <v>19800</v>
      </c>
    </row>
    <row r="7" customFormat="false" ht="15" hidden="false" customHeight="false" outlineLevel="0" collapsed="false">
      <c r="A7" s="7" t="str">
        <f aca="false">설정!$A$12</f>
        <v>발주완료</v>
      </c>
      <c r="B7" s="27" t="n">
        <f aca="false">COUNTIF(주문트래커!$I$4:$I$403,$A7)</f>
        <v>1</v>
      </c>
      <c r="C7" s="23" t="n">
        <f aca="false">SUMIFS(주문트래커!$M$4:$M$403,주문트래커!$I$4:$I$403,$A7)</f>
        <v>13900</v>
      </c>
    </row>
    <row r="8" customFormat="false" ht="15" hidden="false" customHeight="false" outlineLevel="0" collapsed="false">
      <c r="A8" s="7" t="str">
        <f aca="false">설정!$A$13</f>
        <v>배송중</v>
      </c>
      <c r="B8" s="27" t="n">
        <f aca="false">COUNTIF(주문트래커!$I$4:$I$403,$A8)</f>
        <v>0</v>
      </c>
      <c r="C8" s="23" t="n">
        <f aca="false">SUMIFS(주문트래커!$M$4:$M$403,주문트래커!$I$4:$I$403,$A8)</f>
        <v>0</v>
      </c>
    </row>
    <row r="9" customFormat="false" ht="15" hidden="false" customHeight="false" outlineLevel="0" collapsed="false">
      <c r="A9" s="7" t="str">
        <f aca="false">설정!$A$14</f>
        <v>구매확정</v>
      </c>
      <c r="B9" s="27" t="n">
        <f aca="false">COUNTIF(주문트래커!$I$4:$I$403,$A9)</f>
        <v>0</v>
      </c>
      <c r="C9" s="23" t="n">
        <f aca="false">SUMIFS(주문트래커!$M$4:$M$403,주문트래커!$I$4:$I$403,$A9)</f>
        <v>0</v>
      </c>
    </row>
    <row r="10" customFormat="false" ht="15" hidden="false" customHeight="false" outlineLevel="0" collapsed="false">
      <c r="A10" s="7" t="str">
        <f aca="false">설정!$A$15</f>
        <v>취소</v>
      </c>
      <c r="B10" s="27" t="n">
        <f aca="false">COUNTIF(주문트래커!$I$4:$I$403,$A10)</f>
        <v>0</v>
      </c>
      <c r="C10" s="23" t="n">
        <f aca="false">SUMIFS(주문트래커!$M$4:$M$403,주문트래커!$I$4:$I$403,$A10)</f>
        <v>0</v>
      </c>
    </row>
    <row r="11" customFormat="false" ht="15" hidden="false" customHeight="false" outlineLevel="0" collapsed="false">
      <c r="A11" s="4" t="s">
        <v>101</v>
      </c>
      <c r="B11" s="28" t="n">
        <f aca="false">SUM(B6:B10)</f>
        <v>2</v>
      </c>
      <c r="C11" s="29" t="n">
        <f aca="false">SUM(C6:C10)</f>
        <v>33700</v>
      </c>
    </row>
    <row r="13" customFormat="false" ht="15" hidden="false" customHeight="false" outlineLevel="0" collapsed="false">
      <c r="A13" s="26" t="s">
        <v>102</v>
      </c>
    </row>
    <row r="14" customFormat="false" ht="15" hidden="false" customHeight="false" outlineLevel="0" collapsed="false">
      <c r="A14" s="4" t="s">
        <v>103</v>
      </c>
      <c r="B14" s="28" t="n">
        <f aca="false">COUNTIF(주문트래커!$I$4:$I$403,설정!$A$11)</f>
        <v>1</v>
      </c>
      <c r="C14" s="2" t="s">
        <v>104</v>
      </c>
    </row>
    <row r="15" customFormat="false" ht="15" hidden="false" customHeight="false" outlineLevel="0" collapsed="false">
      <c r="A15" s="4" t="s">
        <v>105</v>
      </c>
      <c r="B15" s="29" t="n">
        <f aca="false">SUMIFS(주문트래커!$N$4:$N$403,주문트래커!$I$4:$I$403,설정!$A$11)-SUMIFS(주문트래커!$O$4:$O$403,주문트래커!$I$4:$I$403,설정!$A$11)</f>
        <v>11100</v>
      </c>
      <c r="C15" s="2" t="s">
        <v>106</v>
      </c>
    </row>
    <row r="16" customFormat="false" ht="15" hidden="false" customHeight="false" outlineLevel="0" collapsed="false">
      <c r="A16" s="4" t="s">
        <v>107</v>
      </c>
      <c r="B16" s="28" t="n">
        <f aca="false">COUNTIF(주문트래커!$P$4:$P$403,"지연!")</f>
        <v>0</v>
      </c>
      <c r="C16" s="25" t="s">
        <v>108</v>
      </c>
    </row>
    <row r="18" customFormat="false" ht="15" hidden="false" customHeight="false" outlineLevel="0" collapsed="false">
      <c r="A18" s="26" t="s">
        <v>109</v>
      </c>
    </row>
    <row r="19" customFormat="false" ht="15" hidden="false" customHeight="false" outlineLevel="0" collapsed="false">
      <c r="A19" s="4" t="s">
        <v>110</v>
      </c>
      <c r="B19" s="27" t="n">
        <f aca="false">COUNTIF(주문트래커!$M$4:$M$403,"&gt;=0")</f>
        <v>2</v>
      </c>
      <c r="C19" s="2" t="s">
        <v>111</v>
      </c>
    </row>
    <row r="20" customFormat="false" ht="15" hidden="false" customHeight="false" outlineLevel="0" collapsed="false">
      <c r="A20" s="4" t="s">
        <v>112</v>
      </c>
      <c r="B20" s="23" t="n">
        <f aca="false">SUM(주문트래커!$M$4:$M$403)</f>
        <v>33700</v>
      </c>
    </row>
    <row r="21" customFormat="false" ht="15" hidden="false" customHeight="false" outlineLevel="0" collapsed="false">
      <c r="A21" s="4" t="s">
        <v>113</v>
      </c>
      <c r="B21" s="23" t="n">
        <f aca="false">SUM(주문트래커!$N$4:$N$403)</f>
        <v>31802.69</v>
      </c>
    </row>
    <row r="22" customFormat="false" ht="15" hidden="false" customHeight="false" outlineLevel="0" collapsed="false">
      <c r="A22" s="4" t="s">
        <v>114</v>
      </c>
      <c r="B22" s="23" t="n">
        <f aca="false">SUM(주문트래커!$O$4:$O$403)</f>
        <v>10282.69</v>
      </c>
    </row>
    <row r="23" customFormat="false" ht="15" hidden="false" customHeight="false" outlineLevel="0" collapsed="false">
      <c r="A23" s="4" t="s">
        <v>115</v>
      </c>
      <c r="B23" s="13" t="n">
        <f aca="false">IFERROR(B22/B20,"")</f>
        <v>0.305124332344214</v>
      </c>
      <c r="C23" s="2" t="s">
        <v>116</v>
      </c>
    </row>
    <row r="25" customFormat="false" ht="15" hidden="false" customHeight="false" outlineLevel="0" collapsed="false">
      <c r="A25" s="26" t="s">
        <v>117</v>
      </c>
    </row>
    <row r="26" customFormat="false" ht="15" hidden="false" customHeight="false" outlineLevel="0" collapsed="false">
      <c r="A26" s="2" t="s">
        <v>118</v>
      </c>
    </row>
    <row r="27" customFormat="false" ht="15" hidden="false" customHeight="false" outlineLevel="0" collapsed="false">
      <c r="A27" s="11" t="s">
        <v>119</v>
      </c>
      <c r="B27" s="11" t="s">
        <v>120</v>
      </c>
      <c r="C27" s="11" t="s">
        <v>121</v>
      </c>
      <c r="D27" s="11" t="s">
        <v>122</v>
      </c>
      <c r="E27" s="11" t="s">
        <v>123</v>
      </c>
    </row>
    <row r="28" customFormat="false" ht="15" hidden="false" customHeight="false" outlineLevel="0" collapsed="false">
      <c r="A28" s="30" t="n">
        <v>46235</v>
      </c>
      <c r="B28" s="27" t="n">
        <f aca="false">COUNTIFS(주문트래커!$A$4:$A$403,"&gt;="&amp;$A28,주문트래커!$A$4:$A$403,"&lt;"&amp;EDATE($A28,1))</f>
        <v>2</v>
      </c>
      <c r="C28" s="23" t="n">
        <f aca="false">SUMIFS(주문트래커!$M$4:$M$403,주문트래커!$A$4:$A$403,"&gt;="&amp;$A28,주문트래커!$A$4:$A$403,"&lt;"&amp;EDATE($A28,1))</f>
        <v>33700</v>
      </c>
      <c r="D28" s="23" t="n">
        <f aca="false">SUMIFS(주문트래커!$N$4:$N$403,주문트래커!$A$4:$A$403,"&gt;="&amp;$A28,주문트래커!$A$4:$A$403,"&lt;"&amp;EDATE($A28,1))</f>
        <v>31802.69</v>
      </c>
      <c r="E28" s="23" t="n">
        <f aca="false">SUMIFS(주문트래커!$O$4:$O$403,주문트래커!$A$4:$A$403,"&gt;="&amp;$A28,주문트래커!$A$4:$A$403,"&lt;"&amp;EDATE($A28,1))</f>
        <v>10282.69</v>
      </c>
    </row>
    <row r="29" customFormat="false" ht="15" hidden="false" customHeight="false" outlineLevel="0" collapsed="false">
      <c r="A29" s="31" t="n">
        <f aca="false">EDATE($A28,1)</f>
        <v>46266</v>
      </c>
      <c r="B29" s="27" t="n">
        <f aca="false">COUNTIFS(주문트래커!$A$4:$A$403,"&gt;="&amp;$A29,주문트래커!$A$4:$A$403,"&lt;"&amp;EDATE($A29,1))</f>
        <v>0</v>
      </c>
      <c r="C29" s="23" t="n">
        <f aca="false">SUMIFS(주문트래커!$M$4:$M$403,주문트래커!$A$4:$A$403,"&gt;="&amp;$A29,주문트래커!$A$4:$A$403,"&lt;"&amp;EDATE($A29,1))</f>
        <v>0</v>
      </c>
      <c r="D29" s="23" t="n">
        <f aca="false">SUMIFS(주문트래커!$N$4:$N$403,주문트래커!$A$4:$A$403,"&gt;="&amp;$A29,주문트래커!$A$4:$A$403,"&lt;"&amp;EDATE($A29,1))</f>
        <v>0</v>
      </c>
      <c r="E29" s="23" t="n">
        <f aca="false">SUMIFS(주문트래커!$O$4:$O$403,주문트래커!$A$4:$A$403,"&gt;="&amp;$A29,주문트래커!$A$4:$A$403,"&lt;"&amp;EDATE($A29,1))</f>
        <v>0</v>
      </c>
    </row>
    <row r="30" customFormat="false" ht="15" hidden="false" customHeight="false" outlineLevel="0" collapsed="false">
      <c r="A30" s="31" t="n">
        <f aca="false">EDATE($A29,1)</f>
        <v>46296</v>
      </c>
      <c r="B30" s="27" t="n">
        <f aca="false">COUNTIFS(주문트래커!$A$4:$A$403,"&gt;="&amp;$A30,주문트래커!$A$4:$A$403,"&lt;"&amp;EDATE($A30,1))</f>
        <v>0</v>
      </c>
      <c r="C30" s="23" t="n">
        <f aca="false">SUMIFS(주문트래커!$M$4:$M$403,주문트래커!$A$4:$A$403,"&gt;="&amp;$A30,주문트래커!$A$4:$A$403,"&lt;"&amp;EDATE($A30,1))</f>
        <v>0</v>
      </c>
      <c r="D30" s="23" t="n">
        <f aca="false">SUMIFS(주문트래커!$N$4:$N$403,주문트래커!$A$4:$A$403,"&gt;="&amp;$A30,주문트래커!$A$4:$A$403,"&lt;"&amp;EDATE($A30,1))</f>
        <v>0</v>
      </c>
      <c r="E30" s="23" t="n">
        <f aca="false">SUMIFS(주문트래커!$O$4:$O$403,주문트래커!$A$4:$A$403,"&gt;="&amp;$A30,주문트래커!$A$4:$A$403,"&lt;"&amp;EDATE($A30,1))</f>
        <v>0</v>
      </c>
    </row>
    <row r="31" customFormat="false" ht="15" hidden="false" customHeight="false" outlineLevel="0" collapsed="false">
      <c r="A31" s="31" t="n">
        <f aca="false">EDATE($A30,1)</f>
        <v>46327</v>
      </c>
      <c r="B31" s="27" t="n">
        <f aca="false">COUNTIFS(주문트래커!$A$4:$A$403,"&gt;="&amp;$A31,주문트래커!$A$4:$A$403,"&lt;"&amp;EDATE($A31,1))</f>
        <v>0</v>
      </c>
      <c r="C31" s="23" t="n">
        <f aca="false">SUMIFS(주문트래커!$M$4:$M$403,주문트래커!$A$4:$A$403,"&gt;="&amp;$A31,주문트래커!$A$4:$A$403,"&lt;"&amp;EDATE($A31,1))</f>
        <v>0</v>
      </c>
      <c r="D31" s="23" t="n">
        <f aca="false">SUMIFS(주문트래커!$N$4:$N$403,주문트래커!$A$4:$A$403,"&gt;="&amp;$A31,주문트래커!$A$4:$A$403,"&lt;"&amp;EDATE($A31,1))</f>
        <v>0</v>
      </c>
      <c r="E31" s="23" t="n">
        <f aca="false">SUMIFS(주문트래커!$O$4:$O$403,주문트래커!$A$4:$A$403,"&gt;="&amp;$A31,주문트래커!$A$4:$A$403,"&lt;"&amp;EDATE($A31,1))</f>
        <v>0</v>
      </c>
    </row>
    <row r="32" customFormat="false" ht="15" hidden="false" customHeight="false" outlineLevel="0" collapsed="false">
      <c r="A32" s="31" t="n">
        <f aca="false">EDATE($A31,1)</f>
        <v>46357</v>
      </c>
      <c r="B32" s="27" t="n">
        <f aca="false">COUNTIFS(주문트래커!$A$4:$A$403,"&gt;="&amp;$A32,주문트래커!$A$4:$A$403,"&lt;"&amp;EDATE($A32,1))</f>
        <v>0</v>
      </c>
      <c r="C32" s="23" t="n">
        <f aca="false">SUMIFS(주문트래커!$M$4:$M$403,주문트래커!$A$4:$A$403,"&gt;="&amp;$A32,주문트래커!$A$4:$A$403,"&lt;"&amp;EDATE($A32,1))</f>
        <v>0</v>
      </c>
      <c r="D32" s="23" t="n">
        <f aca="false">SUMIFS(주문트래커!$N$4:$N$403,주문트래커!$A$4:$A$403,"&gt;="&amp;$A32,주문트래커!$A$4:$A$403,"&lt;"&amp;EDATE($A32,1))</f>
        <v>0</v>
      </c>
      <c r="E32" s="23" t="n">
        <f aca="false">SUMIFS(주문트래커!$O$4:$O$403,주문트래커!$A$4:$A$403,"&gt;="&amp;$A32,주문트래커!$A$4:$A$403,"&lt;"&amp;EDATE($A32,1))</f>
        <v>0</v>
      </c>
    </row>
    <row r="33" customFormat="false" ht="15" hidden="false" customHeight="false" outlineLevel="0" collapsed="false">
      <c r="A33" s="31" t="n">
        <f aca="false">EDATE($A32,1)</f>
        <v>46388</v>
      </c>
      <c r="B33" s="27" t="n">
        <f aca="false">COUNTIFS(주문트래커!$A$4:$A$403,"&gt;="&amp;$A33,주문트래커!$A$4:$A$403,"&lt;"&amp;EDATE($A33,1))</f>
        <v>0</v>
      </c>
      <c r="C33" s="23" t="n">
        <f aca="false">SUMIFS(주문트래커!$M$4:$M$403,주문트래커!$A$4:$A$403,"&gt;="&amp;$A33,주문트래커!$A$4:$A$403,"&lt;"&amp;EDATE($A33,1))</f>
        <v>0</v>
      </c>
      <c r="D33" s="23" t="n">
        <f aca="false">SUMIFS(주문트래커!$N$4:$N$403,주문트래커!$A$4:$A$403,"&gt;="&amp;$A33,주문트래커!$A$4:$A$403,"&lt;"&amp;EDATE($A33,1))</f>
        <v>0</v>
      </c>
      <c r="E33" s="23" t="n">
        <f aca="false">SUMIFS(주문트래커!$O$4:$O$403,주문트래커!$A$4:$A$403,"&gt;="&amp;$A33,주문트래커!$A$4:$A$403,"&lt;"&amp;EDATE($A33,1))</f>
        <v>0</v>
      </c>
    </row>
    <row r="34" customFormat="false" ht="15" hidden="false" customHeight="false" outlineLevel="0" collapsed="false">
      <c r="A34" s="31" t="n">
        <f aca="false">EDATE($A33,1)</f>
        <v>46419</v>
      </c>
      <c r="B34" s="27" t="n">
        <f aca="false">COUNTIFS(주문트래커!$A$4:$A$403,"&gt;="&amp;$A34,주문트래커!$A$4:$A$403,"&lt;"&amp;EDATE($A34,1))</f>
        <v>0</v>
      </c>
      <c r="C34" s="23" t="n">
        <f aca="false">SUMIFS(주문트래커!$M$4:$M$403,주문트래커!$A$4:$A$403,"&gt;="&amp;$A34,주문트래커!$A$4:$A$403,"&lt;"&amp;EDATE($A34,1))</f>
        <v>0</v>
      </c>
      <c r="D34" s="23" t="n">
        <f aca="false">SUMIFS(주문트래커!$N$4:$N$403,주문트래커!$A$4:$A$403,"&gt;="&amp;$A34,주문트래커!$A$4:$A$403,"&lt;"&amp;EDATE($A34,1))</f>
        <v>0</v>
      </c>
      <c r="E34" s="23" t="n">
        <f aca="false">SUMIFS(주문트래커!$O$4:$O$403,주문트래커!$A$4:$A$403,"&gt;="&amp;$A34,주문트래커!$A$4:$A$403,"&lt;"&amp;EDATE($A34,1))</f>
        <v>0</v>
      </c>
    </row>
    <row r="35" customFormat="false" ht="15" hidden="false" customHeight="false" outlineLevel="0" collapsed="false">
      <c r="A35" s="31" t="n">
        <f aca="false">EDATE($A34,1)</f>
        <v>46447</v>
      </c>
      <c r="B35" s="27" t="n">
        <f aca="false">COUNTIFS(주문트래커!$A$4:$A$403,"&gt;="&amp;$A35,주문트래커!$A$4:$A$403,"&lt;"&amp;EDATE($A35,1))</f>
        <v>0</v>
      </c>
      <c r="C35" s="23" t="n">
        <f aca="false">SUMIFS(주문트래커!$M$4:$M$403,주문트래커!$A$4:$A$403,"&gt;="&amp;$A35,주문트래커!$A$4:$A$403,"&lt;"&amp;EDATE($A35,1))</f>
        <v>0</v>
      </c>
      <c r="D35" s="23" t="n">
        <f aca="false">SUMIFS(주문트래커!$N$4:$N$403,주문트래커!$A$4:$A$403,"&gt;="&amp;$A35,주문트래커!$A$4:$A$403,"&lt;"&amp;EDATE($A35,1))</f>
        <v>0</v>
      </c>
      <c r="E35" s="23" t="n">
        <f aca="false">SUMIFS(주문트래커!$O$4:$O$403,주문트래커!$A$4:$A$403,"&gt;="&amp;$A35,주문트래커!$A$4:$A$403,"&lt;"&amp;EDATE($A35,1))</f>
        <v>0</v>
      </c>
    </row>
    <row r="36" customFormat="false" ht="15" hidden="false" customHeight="false" outlineLevel="0" collapsed="false">
      <c r="A36" s="31" t="n">
        <f aca="false">EDATE($A35,1)</f>
        <v>46478</v>
      </c>
      <c r="B36" s="27" t="n">
        <f aca="false">COUNTIFS(주문트래커!$A$4:$A$403,"&gt;="&amp;$A36,주문트래커!$A$4:$A$403,"&lt;"&amp;EDATE($A36,1))</f>
        <v>0</v>
      </c>
      <c r="C36" s="23" t="n">
        <f aca="false">SUMIFS(주문트래커!$M$4:$M$403,주문트래커!$A$4:$A$403,"&gt;="&amp;$A36,주문트래커!$A$4:$A$403,"&lt;"&amp;EDATE($A36,1))</f>
        <v>0</v>
      </c>
      <c r="D36" s="23" t="n">
        <f aca="false">SUMIFS(주문트래커!$N$4:$N$403,주문트래커!$A$4:$A$403,"&gt;="&amp;$A36,주문트래커!$A$4:$A$403,"&lt;"&amp;EDATE($A36,1))</f>
        <v>0</v>
      </c>
      <c r="E36" s="23" t="n">
        <f aca="false">SUMIFS(주문트래커!$O$4:$O$403,주문트래커!$A$4:$A$403,"&gt;="&amp;$A36,주문트래커!$A$4:$A$403,"&lt;"&amp;EDATE($A36,1))</f>
        <v>0</v>
      </c>
    </row>
    <row r="37" customFormat="false" ht="15" hidden="false" customHeight="false" outlineLevel="0" collapsed="false">
      <c r="A37" s="31" t="n">
        <f aca="false">EDATE($A36,1)</f>
        <v>46508</v>
      </c>
      <c r="B37" s="27" t="n">
        <f aca="false">COUNTIFS(주문트래커!$A$4:$A$403,"&gt;="&amp;$A37,주문트래커!$A$4:$A$403,"&lt;"&amp;EDATE($A37,1))</f>
        <v>0</v>
      </c>
      <c r="C37" s="23" t="n">
        <f aca="false">SUMIFS(주문트래커!$M$4:$M$403,주문트래커!$A$4:$A$403,"&gt;="&amp;$A37,주문트래커!$A$4:$A$403,"&lt;"&amp;EDATE($A37,1))</f>
        <v>0</v>
      </c>
      <c r="D37" s="23" t="n">
        <f aca="false">SUMIFS(주문트래커!$N$4:$N$403,주문트래커!$A$4:$A$403,"&gt;="&amp;$A37,주문트래커!$A$4:$A$403,"&lt;"&amp;EDATE($A37,1))</f>
        <v>0</v>
      </c>
      <c r="E37" s="23" t="n">
        <f aca="false">SUMIFS(주문트래커!$O$4:$O$403,주문트래커!$A$4:$A$403,"&gt;="&amp;$A37,주문트래커!$A$4:$A$403,"&lt;"&amp;EDATE($A37,1))</f>
        <v>0</v>
      </c>
    </row>
    <row r="38" customFormat="false" ht="15" hidden="false" customHeight="false" outlineLevel="0" collapsed="false">
      <c r="A38" s="31" t="n">
        <f aca="false">EDATE($A37,1)</f>
        <v>46539</v>
      </c>
      <c r="B38" s="27" t="n">
        <f aca="false">COUNTIFS(주문트래커!$A$4:$A$403,"&gt;="&amp;$A38,주문트래커!$A$4:$A$403,"&lt;"&amp;EDATE($A38,1))</f>
        <v>0</v>
      </c>
      <c r="C38" s="23" t="n">
        <f aca="false">SUMIFS(주문트래커!$M$4:$M$403,주문트래커!$A$4:$A$403,"&gt;="&amp;$A38,주문트래커!$A$4:$A$403,"&lt;"&amp;EDATE($A38,1))</f>
        <v>0</v>
      </c>
      <c r="D38" s="23" t="n">
        <f aca="false">SUMIFS(주문트래커!$N$4:$N$403,주문트래커!$A$4:$A$403,"&gt;="&amp;$A38,주문트래커!$A$4:$A$403,"&lt;"&amp;EDATE($A38,1))</f>
        <v>0</v>
      </c>
      <c r="E38" s="23" t="n">
        <f aca="false">SUMIFS(주문트래커!$O$4:$O$403,주문트래커!$A$4:$A$403,"&gt;="&amp;$A38,주문트래커!$A$4:$A$403,"&lt;"&amp;EDATE($A38,1))</f>
        <v>0</v>
      </c>
    </row>
    <row r="39" customFormat="false" ht="15" hidden="false" customHeight="false" outlineLevel="0" collapsed="false">
      <c r="A39" s="31" t="n">
        <f aca="false">EDATE($A38,1)</f>
        <v>46569</v>
      </c>
      <c r="B39" s="27" t="n">
        <f aca="false">COUNTIFS(주문트래커!$A$4:$A$403,"&gt;="&amp;$A39,주문트래커!$A$4:$A$403,"&lt;"&amp;EDATE($A39,1))</f>
        <v>0</v>
      </c>
      <c r="C39" s="23" t="n">
        <f aca="false">SUMIFS(주문트래커!$M$4:$M$403,주문트래커!$A$4:$A$403,"&gt;="&amp;$A39,주문트래커!$A$4:$A$403,"&lt;"&amp;EDATE($A39,1))</f>
        <v>0</v>
      </c>
      <c r="D39" s="23" t="n">
        <f aca="false">SUMIFS(주문트래커!$N$4:$N$403,주문트래커!$A$4:$A$403,"&gt;="&amp;$A39,주문트래커!$A$4:$A$403,"&lt;"&amp;EDATE($A39,1))</f>
        <v>0</v>
      </c>
      <c r="E39" s="23" t="n">
        <f aca="false">SUMIFS(주문트래커!$O$4:$O$403,주문트래커!$A$4:$A$403,"&gt;="&amp;$A39,주문트래커!$A$4:$A$403,"&lt;"&amp;EDATE($A39,1))</f>
        <v>0</v>
      </c>
    </row>
    <row r="40" customFormat="false" ht="14.15" hidden="false" customHeight="false" outlineLevel="0" collapsed="false">
      <c r="A40" s="9" t="s">
        <v>124</v>
      </c>
      <c r="B40" s="28" t="n">
        <f aca="false">SUM(B28:B39)</f>
        <v>2</v>
      </c>
      <c r="C40" s="29" t="n">
        <f aca="false">SUM(C28:C39)</f>
        <v>33700</v>
      </c>
      <c r="D40" s="29" t="n">
        <f aca="false">SUM(D28:D39)</f>
        <v>31802.69</v>
      </c>
      <c r="E40" s="29" t="n">
        <f aca="false">SUM(E28:E39)</f>
        <v>10282.69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52"/>
  </cols>
  <sheetData>
    <row r="1" customFormat="false" ht="18.5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125</v>
      </c>
    </row>
    <row r="3" customFormat="false" ht="15" hidden="false" customHeight="false" outlineLevel="0" collapsed="false">
      <c r="A3" s="11" t="s">
        <v>126</v>
      </c>
      <c r="B3" s="11" t="s">
        <v>127</v>
      </c>
      <c r="C3" s="11" t="s">
        <v>128</v>
      </c>
      <c r="D3" s="11" t="s">
        <v>129</v>
      </c>
      <c r="E3" s="11" t="s">
        <v>130</v>
      </c>
    </row>
    <row r="4" customFormat="false" ht="15" hidden="false" customHeight="false" outlineLevel="0" collapsed="false">
      <c r="A4" s="32" t="s">
        <v>131</v>
      </c>
      <c r="B4" s="32" t="s">
        <v>132</v>
      </c>
      <c r="C4" s="15" t="s">
        <v>133</v>
      </c>
      <c r="D4" s="5" t="s">
        <v>134</v>
      </c>
      <c r="E4" s="5" t="s">
        <v>135</v>
      </c>
    </row>
    <row r="5" customFormat="false" ht="15" hidden="false" customHeight="false" outlineLevel="0" collapsed="false">
      <c r="A5" s="5"/>
      <c r="B5" s="5"/>
      <c r="C5" s="5"/>
      <c r="D5" s="5"/>
      <c r="E5" s="5"/>
    </row>
    <row r="6" customFormat="false" ht="15" hidden="false" customHeight="false" outlineLevel="0" collapsed="false">
      <c r="A6" s="5"/>
      <c r="B6" s="5"/>
      <c r="C6" s="5"/>
      <c r="D6" s="5"/>
      <c r="E6" s="5"/>
    </row>
    <row r="7" customFormat="false" ht="15" hidden="false" customHeight="false" outlineLevel="0" collapsed="false">
      <c r="A7" s="5"/>
      <c r="B7" s="5"/>
      <c r="C7" s="5"/>
      <c r="D7" s="5"/>
      <c r="E7" s="5"/>
    </row>
    <row r="8" customFormat="false" ht="15" hidden="false" customHeight="false" outlineLevel="0" collapsed="false">
      <c r="A8" s="5"/>
      <c r="B8" s="5"/>
      <c r="C8" s="5"/>
      <c r="D8" s="5"/>
      <c r="E8" s="5"/>
    </row>
    <row r="9" customFormat="false" ht="15" hidden="false" customHeight="false" outlineLevel="0" collapsed="false">
      <c r="A9" s="5"/>
      <c r="B9" s="5"/>
      <c r="C9" s="5"/>
      <c r="D9" s="5"/>
      <c r="E9" s="5"/>
    </row>
    <row r="10" customFormat="false" ht="15" hidden="false" customHeight="false" outlineLevel="0" collapsed="false">
      <c r="A10" s="5"/>
      <c r="B10" s="5"/>
      <c r="C10" s="5"/>
      <c r="D10" s="5"/>
      <c r="E10" s="5"/>
    </row>
    <row r="11" customFormat="false" ht="15" hidden="false" customHeight="false" outlineLevel="0" collapsed="false">
      <c r="A11" s="5"/>
      <c r="B11" s="5"/>
      <c r="C11" s="5"/>
      <c r="D11" s="5"/>
      <c r="E11" s="5"/>
    </row>
    <row r="12" customFormat="false" ht="15" hidden="false" customHeight="false" outlineLevel="0" collapsed="false">
      <c r="A12" s="5"/>
      <c r="B12" s="5"/>
      <c r="C12" s="5"/>
      <c r="D12" s="5"/>
      <c r="E12" s="5"/>
    </row>
    <row r="13" customFormat="false" ht="15" hidden="false" customHeight="false" outlineLevel="0" collapsed="false">
      <c r="A13" s="5"/>
      <c r="B13" s="5"/>
      <c r="C13" s="5"/>
      <c r="D13" s="5"/>
      <c r="E13" s="5"/>
    </row>
    <row r="14" customFormat="false" ht="15" hidden="false" customHeight="false" outlineLevel="0" collapsed="false">
      <c r="A14" s="5"/>
      <c r="B14" s="5"/>
      <c r="C14" s="5"/>
      <c r="D14" s="5"/>
      <c r="E14" s="5"/>
    </row>
    <row r="15" customFormat="false" ht="15" hidden="false" customHeight="false" outlineLevel="0" collapsed="false">
      <c r="A15" s="5"/>
      <c r="B15" s="5"/>
      <c r="C15" s="5"/>
      <c r="D15" s="5"/>
      <c r="E15" s="5"/>
    </row>
    <row r="16" customFormat="false" ht="15" hidden="false" customHeight="false" outlineLevel="0" collapsed="false">
      <c r="A16" s="5"/>
      <c r="B16" s="5"/>
      <c r="C16" s="5"/>
      <c r="D16" s="5"/>
      <c r="E16" s="5"/>
    </row>
    <row r="17" customFormat="false" ht="15" hidden="false" customHeight="false" outlineLevel="0" collapsed="false">
      <c r="A17" s="5"/>
      <c r="B17" s="5"/>
      <c r="C17" s="5"/>
      <c r="D17" s="5"/>
      <c r="E17" s="5"/>
    </row>
    <row r="18" customFormat="false" ht="15" hidden="false" customHeight="false" outlineLevel="0" collapsed="false">
      <c r="A18" s="5"/>
      <c r="B18" s="5"/>
      <c r="C18" s="5"/>
      <c r="D18" s="5"/>
      <c r="E18" s="5"/>
    </row>
    <row r="19" customFormat="false" ht="15" hidden="false" customHeight="false" outlineLevel="0" collapsed="false">
      <c r="A19" s="5"/>
      <c r="B19" s="5"/>
      <c r="C19" s="5"/>
      <c r="D19" s="5"/>
      <c r="E19" s="5"/>
    </row>
    <row r="20" customFormat="false" ht="15" hidden="false" customHeight="false" outlineLevel="0" collapsed="false">
      <c r="A20" s="5"/>
      <c r="B20" s="5"/>
      <c r="C20" s="5"/>
      <c r="D20" s="5"/>
      <c r="E20" s="5"/>
    </row>
    <row r="21" customFormat="false" ht="15" hidden="false" customHeight="false" outlineLevel="0" collapsed="false">
      <c r="A21" s="5"/>
      <c r="B21" s="5"/>
      <c r="C21" s="5"/>
      <c r="D21" s="5"/>
      <c r="E21" s="5"/>
    </row>
    <row r="22" customFormat="false" ht="15" hidden="false" customHeight="false" outlineLevel="0" collapsed="false">
      <c r="A22" s="5"/>
      <c r="B22" s="5"/>
      <c r="C22" s="5"/>
      <c r="D22" s="5"/>
      <c r="E22" s="5"/>
    </row>
    <row r="23" customFormat="false" ht="15" hidden="false" customHeight="false" outlineLevel="0" collapsed="false">
      <c r="A23" s="5"/>
      <c r="B23" s="5"/>
      <c r="C23" s="5"/>
      <c r="D23" s="5"/>
      <c r="E23" s="5"/>
    </row>
    <row r="24" customFormat="false" ht="15" hidden="false" customHeight="false" outlineLevel="0" collapsed="false">
      <c r="A24" s="5"/>
      <c r="B24" s="5"/>
      <c r="C24" s="5"/>
      <c r="D24" s="5"/>
      <c r="E24" s="5"/>
    </row>
    <row r="25" customFormat="false" ht="15" hidden="false" customHeight="false" outlineLevel="0" collapsed="false">
      <c r="A25" s="5"/>
      <c r="B25" s="5"/>
      <c r="C25" s="5"/>
      <c r="D25" s="5"/>
      <c r="E25" s="5"/>
    </row>
    <row r="26" customFormat="false" ht="15" hidden="false" customHeight="false" outlineLevel="0" collapsed="false">
      <c r="A26" s="5"/>
      <c r="B26" s="5"/>
      <c r="C26" s="5"/>
      <c r="D26" s="5"/>
      <c r="E26" s="5"/>
    </row>
    <row r="27" customFormat="false" ht="15" hidden="false" customHeight="false" outlineLevel="0" collapsed="false">
      <c r="A27" s="5"/>
      <c r="B27" s="5"/>
      <c r="C27" s="5"/>
      <c r="D27" s="5"/>
      <c r="E27" s="5"/>
    </row>
    <row r="28" customFormat="false" ht="15" hidden="false" customHeight="false" outlineLevel="0" collapsed="false">
      <c r="A28" s="5"/>
      <c r="B28" s="5"/>
      <c r="C28" s="5"/>
      <c r="D28" s="5"/>
      <c r="E28" s="5"/>
    </row>
    <row r="29" customFormat="false" ht="15" hidden="false" customHeight="false" outlineLevel="0" collapsed="false">
      <c r="A29" s="5"/>
      <c r="B29" s="5"/>
      <c r="C29" s="5"/>
      <c r="D29" s="5"/>
      <c r="E29" s="5"/>
    </row>
    <row r="30" customFormat="false" ht="15" hidden="false" customHeight="false" outlineLevel="0" collapsed="false">
      <c r="A30" s="5"/>
      <c r="B30" s="5"/>
      <c r="C30" s="5"/>
      <c r="D30" s="5"/>
      <c r="E30" s="5"/>
    </row>
    <row r="31" customFormat="false" ht="15" hidden="false" customHeight="false" outlineLevel="0" collapsed="false">
      <c r="A31" s="5"/>
      <c r="B31" s="5"/>
      <c r="C31" s="5"/>
      <c r="D31" s="5"/>
      <c r="E31" s="5"/>
    </row>
    <row r="32" customFormat="false" ht="15" hidden="false" customHeight="false" outlineLevel="0" collapsed="false">
      <c r="A32" s="5"/>
      <c r="B32" s="5"/>
      <c r="C32" s="5"/>
      <c r="D32" s="5"/>
      <c r="E32" s="5"/>
    </row>
    <row r="33" customFormat="false" ht="15" hidden="false" customHeight="false" outlineLevel="0" collapsed="false">
      <c r="A33" s="5"/>
      <c r="B33" s="5"/>
      <c r="C33" s="5"/>
      <c r="D33" s="5"/>
      <c r="E3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2026-08-12T15:02:13Z</dcterms:created>
  <dc:creator>openpyxl</dc:creator>
  <dc:description/>
  <dc:language>en-US</dc:language>
  <cp:lastModifiedBy/>
  <dcterms:modified xsi:type="dcterms:W3CDTF">2026-08-12T15:02:13Z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